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kotae\"/>
    </mc:Choice>
  </mc:AlternateContent>
  <xr:revisionPtr revIDLastSave="0" documentId="8_{02542D20-815B-4F02-B6B3-AA6A4F7383B5}" xr6:coauthVersionLast="47" xr6:coauthVersionMax="47" xr10:uidLastSave="{00000000-0000-0000-0000-000000000000}"/>
  <bookViews>
    <workbookView xWindow="-108" yWindow="-108" windowWidth="23256" windowHeight="12456" xr2:uid="{8055361E-7FAD-4DCE-A5EB-4BF75639F371}"/>
  </bookViews>
  <sheets>
    <sheet name="2. Payment Process" sheetId="1" r:id="rId1"/>
  </sheets>
  <externalReferences>
    <externalReference r:id="rId2"/>
  </externalReferences>
  <definedNames>
    <definedName name="MY_FUNCTION1">_xludf.LAMBDA(IF(#REF!="","","TC_"&amp;ROW()-9-COUNTBLANK(#REF!)))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0" i="1" l="1"/>
  <c r="A19" i="1"/>
  <c r="A18" i="1"/>
  <c r="A16" i="1"/>
  <c r="A15" i="1"/>
  <c r="A13" i="1"/>
  <c r="A12" i="1"/>
  <c r="A11" i="1"/>
  <c r="A9" i="1"/>
  <c r="A8" i="1"/>
  <c r="F5" i="1"/>
  <c r="F4" i="1"/>
  <c r="F3" i="1"/>
  <c r="F2" i="1"/>
</calcChain>
</file>

<file path=xl/sharedStrings.xml><?xml version="1.0" encoding="utf-8"?>
<sst xmlns="http://schemas.openxmlformats.org/spreadsheetml/2006/main" count="88" uniqueCount="68">
  <si>
    <t>Chatbot - Smart Catbot System - Test cases: Payment Process</t>
  </si>
  <si>
    <r>
      <t xml:space="preserve">SRS: </t>
    </r>
    <r>
      <rPr>
        <u/>
        <sz val="10"/>
        <color rgb="FF1155CC"/>
        <rFont val="Arial"/>
      </rPr>
      <t>https://tokyotechies.kleversuite.net/wiki/104-5581</t>
    </r>
  </si>
  <si>
    <r>
      <rPr>
        <sz val="10"/>
        <rFont val="Arial"/>
      </rPr>
      <t xml:space="preserve">New Sign Up Flow (without input Credit Card): </t>
    </r>
    <r>
      <rPr>
        <u/>
        <sz val="10"/>
        <color rgb="FF1155CC"/>
        <rFont val="Arial"/>
      </rPr>
      <t>https://tokyotechies.kleversuite.net/wiki/KOTAEDOC-8928</t>
    </r>
  </si>
  <si>
    <t>Total testcase</t>
  </si>
  <si>
    <t xml:space="preserve">Figma: </t>
  </si>
  <si>
    <t>Pass</t>
  </si>
  <si>
    <r>
      <t xml:space="preserve">Bug: </t>
    </r>
    <r>
      <rPr>
        <u/>
        <sz val="10"/>
        <color rgb="FF1155CC"/>
        <rFont val="Arial"/>
      </rPr>
      <t>https://tokyotechies.kleversuite.net/project/CHAT-29437</t>
    </r>
  </si>
  <si>
    <t>Fail</t>
  </si>
  <si>
    <t>Pending</t>
  </si>
  <si>
    <t>No</t>
  </si>
  <si>
    <t>Requirement ID</t>
  </si>
  <si>
    <t>Type</t>
  </si>
  <si>
    <t>Test case</t>
  </si>
  <si>
    <t>Sub cases</t>
  </si>
  <si>
    <t>Precondition</t>
  </si>
  <si>
    <t>Step</t>
  </si>
  <si>
    <t>Expected</t>
  </si>
  <si>
    <t>Pass/Fail</t>
  </si>
  <si>
    <t>Tester</t>
  </si>
  <si>
    <t>Test Date</t>
  </si>
  <si>
    <t>Remarks</t>
  </si>
  <si>
    <t>Auto e2e</t>
  </si>
  <si>
    <t>Free Trial Registration</t>
  </si>
  <si>
    <t xml:space="preserve">
SU-05
SU-06
SU-07</t>
  </si>
  <si>
    <t xml:space="preserve">
UI</t>
  </si>
  <si>
    <t>Happy Case</t>
  </si>
  <si>
    <t>Start Free Trial</t>
  </si>
  <si>
    <t>Login the first time after account verified</t>
  </si>
  <si>
    <t>1. Login for the first time
2. Click Subscribe button</t>
  </si>
  <si>
    <t>1. Direct to Plan Selection Screen Screen
2. Direct to Dashboard Screen</t>
  </si>
  <si>
    <t>UI</t>
  </si>
  <si>
    <t>Abnormal Case</t>
  </si>
  <si>
    <t>Switch to Free Trial of other Pricing Plan among first 30 using days</t>
  </si>
  <si>
    <t>1. Login for the first time
2. Go to Account Settings &gt; Billing &gt; Select another Pricing Plan &gt; Click Submit</t>
  </si>
  <si>
    <t>1. Direct to Start Your Free Trial Now Screen
2. New Pricing Plan will take effect with continuous free trial billing cycle (30 days)</t>
  </si>
  <si>
    <t>Continue Subscription</t>
  </si>
  <si>
    <t>-</t>
  </si>
  <si>
    <t>Continue subscription after Free Trial ends with valid card</t>
  </si>
  <si>
    <t>- Register Free Trials successfully
- Free Trials ends
- Credit Card has edequate amount of money</t>
  </si>
  <si>
    <t>1. Login to system 
2. Select Pricing Plan
3. Input 
- Card Information 
- Card holder name 
- Country or region 
4. Click Subscribe button</t>
  </si>
  <si>
    <t>1. Direct to Billing Screen (other screens are inaccessible)
2. Pricing Plan is selected
3. Credit Card information is inputted
4. Verify the Next End Date is next 30 days
Verify the amount payment of Invoice history is same with Pricing Plan</t>
  </si>
  <si>
    <t>Continue subscription after Subscription ends with valid card</t>
  </si>
  <si>
    <t>- Register Free Trials successfully
- Next Subscription successfully
- Free Trials ends
- Credit Card has edequate amount of money</t>
  </si>
  <si>
    <t>1. Login to system after renew subscription successfully
2. Click Settings in Left Side menu
3. Click Manage Billing button in Billing section
4. Confirm the Next End date &amp; Invoice History</t>
  </si>
  <si>
    <t>1. Direct to Dashboard Screen
2. Direct to Reset Password and Billing Screen
3. Direct to Billing Management Screen
4. Verify the Next End Date is next month
Verify the amount payment of Invoice history is same with Pricing Plan</t>
  </si>
  <si>
    <t>Continue subscription after Subscription ends with INvalid card</t>
  </si>
  <si>
    <t>- Register Free Trials successfully
- Free Trials ends
- Credit Card does not have edequate amount of money</t>
  </si>
  <si>
    <t>1. Login to system after renew subscription UNsuccessfully
2. Enter valid Credit Card</t>
  </si>
  <si>
    <t>1. Direct to Re-subscription Screen
Other screens are grayout and un-accessible
2. After re-subscription successfully, all screens are accessible</t>
  </si>
  <si>
    <t>Cancel Subscription</t>
  </si>
  <si>
    <t>Cancel subscription during Subscription with valid card</t>
  </si>
  <si>
    <t>- Register Free Trials successfully
- Free Trials in period
- Credit Card has edequate amount of money</t>
  </si>
  <si>
    <t xml:space="preserve">1. Login to system after renew subscription successfully
2. Click Settings in Left Side menu
3. Click Manage Billing button in Billing section
4. In Current Plan section, click Cancel plan button
5. Click Cancel plan button
6. Select reason option, enter Feedback, click Submit button
7. Confirm information in Current Plan section </t>
  </si>
  <si>
    <t>1. Direct to Dashboard Screen
2. Direct to Reset Password and Billing Screen
3. Direct to Billing Management Screen
4. Direct to Cancel your plan screen
5. Cancel Subscription dialog appears
6. Direct to Billing Management Screen
7. Verify the End date of current plan
Renew plan button appears</t>
  </si>
  <si>
    <t>Subscription ends</t>
  </si>
  <si>
    <t>- Cancel subscription successfully
- Subscription ends
- Credit Card has edequate amount of money</t>
  </si>
  <si>
    <t>1. Login to system after renew subscription UNsuccessfully
2. Confirm Credit Card</t>
  </si>
  <si>
    <t>1. Direct to Re-subscription Screen
Other screens are grayout and un-accessible?
2. No charge in Credit Card</t>
  </si>
  <si>
    <t>Renew Subscription</t>
  </si>
  <si>
    <t>Renew subscription during Subscription with valid card</t>
  </si>
  <si>
    <t>- Cancel subscription successfully
- Free Trials in period
- Credit Card has edequate amount of money</t>
  </si>
  <si>
    <t xml:space="preserve">1. Login to system after cancel subscription successfully
2. Click Settings in Left Side menu
3. Click Manage Billing button in Billing section
4. In Current Plan section, click Renew plan button
5. Click Renew plan button
6. Confirm information in Current Plan section </t>
  </si>
  <si>
    <t>1. Direct to Dashboard Screen
2. Direct to Reset Password and Billing Screen
3. Direct to Billing Management Screen
4. Direct to Renew your plan screen
5. Direct to Billing Management Screen
6. Verify the End date of current plan
Cancel plan button appears</t>
  </si>
  <si>
    <t>Renew subscription after Subscription ends</t>
  </si>
  <si>
    <t>1. Direct to Dashboard Screen
Other screens are accessible?
2. Charge correct amount of money in Credit Card</t>
  </si>
  <si>
    <t>Renew subscription after cancel Subscription with valid card</t>
  </si>
  <si>
    <t>1. Login to system after cancel subscription successfully &amp; Subscription ends
2. Enter valid Credit Card</t>
  </si>
  <si>
    <t>1. Direct to Re-subscription Screen
Other screens are grayout and un-accessible?
2. After re-subscription successfully, all screens are 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</si>
</sst>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0"/>
      <color rgb="FF000000"/>
      <name val="Arial"/>
      <scheme val="minor"/>
    </font>
    <font>
      <b/>
      <sz val="14"/>
      <color rgb="FF3D85C6"/>
      <name val="Arial"/>
      <scheme val="minor"/>
    </font>
    <font>
      <sz val="14"/>
      <color theme="1"/>
      <name val="Arial"/>
      <scheme val="minor"/>
    </font>
    <font>
      <u/>
      <sz val="10"/>
      <color rgb="FF0000FF"/>
      <name val="Arial"/>
    </font>
    <font>
      <u/>
      <sz val="10"/>
      <color rgb="FF1155CC"/>
      <name val="Arial"/>
    </font>
    <font>
      <sz val="10"/>
      <name val="Arial"/>
    </font>
    <font>
      <sz val="14"/>
      <color rgb="FFFFFFFF"/>
      <name val="Arial"/>
      <scheme val="minor"/>
    </font>
    <font>
      <sz val="10"/>
      <color theme="1"/>
      <name val="Arial"/>
      <scheme val="minor"/>
    </font>
    <font>
      <b/>
      <sz val="10"/>
      <color theme="1"/>
      <name val="Arial"/>
      <scheme val="minor"/>
    </font>
    <font>
      <sz val="10"/>
      <color rgb="FFFFFFFF"/>
      <name val="Arial"/>
      <scheme val="minor"/>
    </font>
    <font>
      <b/>
      <sz val="10"/>
      <color rgb="FF000000"/>
      <name val="Arial"/>
      <scheme val="minor"/>
    </font>
  </fonts>
  <fills count="6">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9FC5E8"/>
        <bgColor rgb="FF9FC5E8"/>
      </patternFill>
    </fill>
    <fill>
      <patternFill patternType="solid">
        <fgColor rgb="FFD9EAD3"/>
        <bgColor rgb="FFD9EAD3"/>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0" fillId="0" borderId="0" xfId="0"/>
    <xf numFmtId="0" fontId="2" fillId="0" borderId="0" xfId="0" applyFont="1" applyAlignment="1">
      <alignment vertical="center" wrapText="1"/>
    </xf>
    <xf numFmtId="0" fontId="3" fillId="0" borderId="0" xfId="0" applyFont="1" applyAlignment="1">
      <alignment vertical="center"/>
    </xf>
    <xf numFmtId="0" fontId="6" fillId="2" borderId="0" xfId="0" applyFont="1" applyFill="1" applyAlignment="1">
      <alignment vertical="center" wrapText="1"/>
    </xf>
    <xf numFmtId="0" fontId="2" fillId="2" borderId="0" xfId="0" applyFont="1" applyFill="1" applyAlignment="1">
      <alignment vertical="center" wrapText="1"/>
    </xf>
    <xf numFmtId="0" fontId="7" fillId="0" borderId="0" xfId="0" applyFont="1" applyAlignment="1">
      <alignment horizontal="left" vertical="center" wrapText="1"/>
    </xf>
    <xf numFmtId="0" fontId="8"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vertical="center"/>
    </xf>
    <xf numFmtId="0" fontId="9" fillId="2" borderId="0" xfId="0" applyFont="1" applyFill="1" applyAlignment="1">
      <alignment horizontal="left" vertical="center" wrapText="1"/>
    </xf>
    <xf numFmtId="0" fontId="7" fillId="2" borderId="0" xfId="0" applyFont="1" applyFill="1" applyAlignment="1">
      <alignment horizontal="left" vertical="center" wrapText="1"/>
    </xf>
    <xf numFmtId="0" fontId="7" fillId="0" borderId="1" xfId="0" applyFont="1" applyBorder="1" applyAlignment="1">
      <alignment horizontal="left" vertical="center"/>
    </xf>
    <xf numFmtId="0" fontId="3" fillId="0" borderId="0" xfId="0" applyFont="1"/>
    <xf numFmtId="0" fontId="7" fillId="0" borderId="0" xfId="0" applyFont="1" applyAlignment="1">
      <alignment horizontal="left" vertical="center"/>
    </xf>
    <xf numFmtId="0" fontId="8" fillId="4" borderId="1" xfId="0" applyFont="1" applyFill="1" applyBorder="1" applyAlignment="1">
      <alignment vertical="center"/>
    </xf>
    <xf numFmtId="0" fontId="8" fillId="4" borderId="1" xfId="0" applyFont="1" applyFill="1" applyBorder="1" applyAlignment="1">
      <alignment horizontal="left" vertical="center"/>
    </xf>
    <xf numFmtId="0" fontId="0" fillId="2" borderId="0" xfId="0" applyFill="1" applyAlignment="1">
      <alignment horizontal="left" vertical="center" wrapText="1"/>
    </xf>
    <xf numFmtId="0" fontId="10" fillId="5" borderId="2" xfId="0" applyFont="1" applyFill="1" applyBorder="1" applyAlignment="1">
      <alignment vertical="center"/>
    </xf>
    <xf numFmtId="0" fontId="5" fillId="0" borderId="3" xfId="0" applyFont="1" applyBorder="1"/>
    <xf numFmtId="0" fontId="5" fillId="0" borderId="4" xfId="0" applyFont="1" applyBorder="1"/>
    <xf numFmtId="0" fontId="0" fillId="2" borderId="1" xfId="0" applyFill="1" applyBorder="1" applyAlignment="1">
      <alignment vertical="center"/>
    </xf>
    <xf numFmtId="0" fontId="7" fillId="0" borderId="5" xfId="0" applyFont="1" applyBorder="1" applyAlignment="1">
      <alignment horizontal="left" vertical="center" wrapText="1"/>
    </xf>
    <xf numFmtId="16" fontId="7" fillId="0" borderId="1" xfId="0" applyNumberFormat="1" applyFont="1" applyBorder="1" applyAlignment="1">
      <alignment horizontal="left" vertical="center" wrapText="1"/>
    </xf>
    <xf numFmtId="0" fontId="5" fillId="0" borderId="6" xfId="0" applyFont="1" applyBorder="1"/>
    <xf numFmtId="0" fontId="0" fillId="0" borderId="5" xfId="0" applyBorder="1" applyAlignment="1">
      <alignment horizontal="left" vertical="center" wrapText="1"/>
    </xf>
    <xf numFmtId="0" fontId="7" fillId="0" borderId="1" xfId="0" applyFont="1" applyBorder="1" applyAlignment="1">
      <alignment horizontal="left" vertical="top" wrapText="1"/>
    </xf>
    <xf numFmtId="164" fontId="7" fillId="0" borderId="1" xfId="0" applyNumberFormat="1" applyFont="1" applyBorder="1" applyAlignment="1">
      <alignment horizontal="left" vertical="center" wrapText="1"/>
    </xf>
    <xf numFmtId="0" fontId="5"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Chatbot_Manual%20Testing_Test%20cases_v1.0_20240418%20(1).xlsx" TargetMode="External"/><Relationship Id="rId1" Type="http://schemas.openxmlformats.org/officeDocument/2006/relationships/externalLinkPath" Target="file:///C:\Users\ASUS\Downloads\Chatbot_Manual%20Testing_Test%20cases_v1.0_20240418%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History"/>
      <sheetName val=" Function List"/>
      <sheetName val="Testcase Review"/>
      <sheetName val="1. Sign Up Login"/>
      <sheetName val="2. Payment Process"/>
      <sheetName val="3. Chatbot Settings"/>
      <sheetName val="4. Chatbot"/>
      <sheetName val="5. Landing Page"/>
      <sheetName val="6. Admin dashboard"/>
      <sheetName val="7. Blog CMS"/>
      <sheetName val="System"/>
      <sheetName val="8. Pricing Plan"/>
      <sheetName val="GUI &amp; Compatibility"/>
      <sheetName val="Security"/>
      <sheetName val="Smoke"/>
      <sheetName val="Regression"/>
      <sheetName val="Billing 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okyotechies.kleversuite.net/project/CHAT-29437" TargetMode="External"/><Relationship Id="rId2" Type="http://schemas.openxmlformats.org/officeDocument/2006/relationships/hyperlink" Target="https://tokyotechies.kleversuite.net/wiki/KOTAEDOC-8928" TargetMode="External"/><Relationship Id="rId1" Type="http://schemas.openxmlformats.org/officeDocument/2006/relationships/hyperlink" Target="https://tokyotechies.kleversuite.net/wiki/104-55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52E7-716A-4D48-AD50-23C5CF8B889F}">
  <sheetPr>
    <outlinePr summaryBelow="0" summaryRight="0"/>
  </sheetPr>
  <dimension ref="A1:O20"/>
  <sheetViews>
    <sheetView showGridLines="0" tabSelected="1" workbookViewId="0">
      <pane ySplit="6" topLeftCell="A7" activePane="bottomLeft" state="frozen"/>
      <selection pane="bottomLeft" activeCell="B8" sqref="B8:B9"/>
    </sheetView>
  </sheetViews>
  <sheetFormatPr defaultColWidth="12.6640625" defaultRowHeight="15.75" customHeight="1" outlineLevelRow="1" x14ac:dyDescent="0.25"/>
  <cols>
    <col min="1" max="1" width="9.109375" customWidth="1"/>
    <col min="2" max="2" width="15.21875" customWidth="1"/>
    <col min="3" max="3" width="10.33203125" hidden="1" customWidth="1"/>
    <col min="4" max="4" width="16" customWidth="1"/>
    <col min="5" max="5" width="30.21875" customWidth="1"/>
    <col min="6" max="6" width="14.6640625" customWidth="1"/>
    <col min="7" max="7" width="39" customWidth="1"/>
    <col min="8" max="8" width="32" customWidth="1"/>
    <col min="9" max="9" width="15.21875" customWidth="1"/>
    <col min="10" max="10" width="17.6640625" customWidth="1"/>
    <col min="11" max="11" width="20.6640625" customWidth="1"/>
    <col min="12" max="12" width="25" customWidth="1"/>
    <col min="13" max="13" width="31.33203125" customWidth="1"/>
  </cols>
  <sheetData>
    <row r="1" spans="1:15" ht="20.25" customHeight="1" x14ac:dyDescent="0.25">
      <c r="A1" s="1" t="s">
        <v>0</v>
      </c>
      <c r="B1" s="2"/>
      <c r="C1" s="2"/>
      <c r="D1" s="2"/>
      <c r="E1" s="2"/>
      <c r="F1" s="3"/>
      <c r="G1" s="4" t="s">
        <v>1</v>
      </c>
      <c r="H1" s="4" t="s">
        <v>2</v>
      </c>
      <c r="I1" s="3"/>
      <c r="J1" s="3"/>
      <c r="K1" s="3"/>
      <c r="L1" s="3"/>
      <c r="M1" s="3"/>
      <c r="N1" s="5"/>
      <c r="O1" s="6"/>
    </row>
    <row r="2" spans="1:15" ht="13.2" x14ac:dyDescent="0.25">
      <c r="A2" s="7"/>
      <c r="B2" s="7"/>
      <c r="C2" s="7"/>
      <c r="D2" s="7"/>
      <c r="E2" s="8" t="s">
        <v>3</v>
      </c>
      <c r="F2" s="9">
        <f>COUNTA(H8:H811)</f>
        <v>10</v>
      </c>
      <c r="G2" s="10" t="s">
        <v>4</v>
      </c>
      <c r="H2" s="10"/>
      <c r="I2" s="10"/>
      <c r="J2" s="10"/>
      <c r="K2" s="10"/>
      <c r="L2" s="10"/>
      <c r="M2" s="10"/>
      <c r="N2" s="11"/>
      <c r="O2" s="12"/>
    </row>
    <row r="3" spans="1:15" ht="13.2" x14ac:dyDescent="0.25">
      <c r="A3" s="7"/>
      <c r="B3" s="7"/>
      <c r="C3" s="7"/>
      <c r="D3" s="7"/>
      <c r="E3" s="8" t="s">
        <v>5</v>
      </c>
      <c r="F3" s="13">
        <f>COUNTIF($I$8:I10,"Pass")</f>
        <v>2</v>
      </c>
      <c r="G3" s="14" t="s">
        <v>6</v>
      </c>
      <c r="H3" s="10"/>
      <c r="I3" s="10"/>
      <c r="J3" s="10"/>
      <c r="K3" s="10"/>
      <c r="L3" s="10"/>
      <c r="M3" s="10"/>
      <c r="N3" s="11"/>
      <c r="O3" s="12"/>
    </row>
    <row r="4" spans="1:15" ht="13.2" x14ac:dyDescent="0.25">
      <c r="A4" s="7"/>
      <c r="B4" s="7"/>
      <c r="C4" s="7"/>
      <c r="D4" s="7"/>
      <c r="E4" s="8" t="s">
        <v>7</v>
      </c>
      <c r="F4" s="13">
        <f>COUNTIF($I$8:I10,"Fail")</f>
        <v>0</v>
      </c>
      <c r="G4" s="10"/>
      <c r="H4" s="10"/>
      <c r="I4" s="10"/>
      <c r="J4" s="10"/>
      <c r="K4" s="10"/>
      <c r="L4" s="10"/>
      <c r="M4" s="10"/>
      <c r="N4" s="11"/>
      <c r="O4" s="12"/>
    </row>
    <row r="5" spans="1:15" ht="13.2" x14ac:dyDescent="0.25">
      <c r="A5" s="7"/>
      <c r="B5" s="7"/>
      <c r="C5" s="7"/>
      <c r="D5" s="7"/>
      <c r="E5" s="8" t="s">
        <v>8</v>
      </c>
      <c r="F5" s="13">
        <f>COUNTIF($I$8:I10,"Pending")</f>
        <v>0</v>
      </c>
      <c r="G5" s="10"/>
      <c r="H5" s="15"/>
      <c r="I5" s="10"/>
      <c r="J5" s="10"/>
      <c r="K5" s="10"/>
      <c r="L5" s="10"/>
      <c r="M5" s="10"/>
      <c r="N5" s="11"/>
      <c r="O5" s="12"/>
    </row>
    <row r="6" spans="1:15" ht="13.2" x14ac:dyDescent="0.25">
      <c r="A6" s="16" t="s">
        <v>9</v>
      </c>
      <c r="B6" s="16" t="s">
        <v>10</v>
      </c>
      <c r="C6" s="17" t="s">
        <v>11</v>
      </c>
      <c r="D6" s="17" t="s">
        <v>12</v>
      </c>
      <c r="E6" s="16" t="s">
        <v>13</v>
      </c>
      <c r="F6" s="16" t="s">
        <v>14</v>
      </c>
      <c r="G6" s="16" t="s">
        <v>15</v>
      </c>
      <c r="H6" s="16" t="s">
        <v>16</v>
      </c>
      <c r="I6" s="16" t="s">
        <v>17</v>
      </c>
      <c r="J6" s="16" t="s">
        <v>18</v>
      </c>
      <c r="K6" s="16" t="s">
        <v>19</v>
      </c>
      <c r="L6" s="16" t="s">
        <v>20</v>
      </c>
      <c r="M6" s="16" t="s">
        <v>21</v>
      </c>
      <c r="N6" s="11"/>
      <c r="O6" s="18"/>
    </row>
    <row r="7" spans="1:15" ht="13.2" x14ac:dyDescent="0.25">
      <c r="A7" s="19" t="s">
        <v>22</v>
      </c>
      <c r="B7" s="20"/>
      <c r="C7" s="20"/>
      <c r="D7" s="20"/>
      <c r="E7" s="20"/>
      <c r="F7" s="20"/>
      <c r="G7" s="20"/>
      <c r="H7" s="20"/>
      <c r="I7" s="20"/>
      <c r="J7" s="20"/>
      <c r="K7" s="20"/>
      <c r="L7" s="20"/>
      <c r="M7" s="21"/>
      <c r="N7" s="11"/>
      <c r="O7" s="11"/>
    </row>
    <row r="8" spans="1:15" ht="39.6" outlineLevel="1" x14ac:dyDescent="0.25">
      <c r="A8" s="22" t="str">
        <f>IF(H8="","","TC_"&amp;ROW()-7-COUNTBLANK(H8:H$9))</f>
        <v>TC_1</v>
      </c>
      <c r="B8" s="23" t="s">
        <v>23</v>
      </c>
      <c r="C8" s="9" t="s">
        <v>24</v>
      </c>
      <c r="D8" s="9" t="s">
        <v>25</v>
      </c>
      <c r="E8" s="9" t="s">
        <v>26</v>
      </c>
      <c r="F8" s="9" t="s">
        <v>27</v>
      </c>
      <c r="G8" s="9" t="s">
        <v>28</v>
      </c>
      <c r="H8" s="9" t="s">
        <v>29</v>
      </c>
      <c r="I8" s="9" t="s">
        <v>5</v>
      </c>
      <c r="J8" s="9"/>
      <c r="K8" s="24"/>
      <c r="L8" s="9"/>
      <c r="M8" s="9"/>
      <c r="N8" s="11"/>
      <c r="O8" s="12"/>
    </row>
    <row r="9" spans="1:15" ht="66" outlineLevel="1" x14ac:dyDescent="0.25">
      <c r="A9" s="22" t="str">
        <f>IF(H9="","","TC_"&amp;ROW()-7-COUNTBLANK(H$9:H9))</f>
        <v>TC_2</v>
      </c>
      <c r="B9" s="25"/>
      <c r="C9" s="9" t="s">
        <v>30</v>
      </c>
      <c r="D9" s="9" t="s">
        <v>31</v>
      </c>
      <c r="E9" s="9" t="s">
        <v>32</v>
      </c>
      <c r="F9" s="9"/>
      <c r="G9" s="9" t="s">
        <v>33</v>
      </c>
      <c r="H9" s="9" t="s">
        <v>34</v>
      </c>
      <c r="I9" s="9" t="s">
        <v>5</v>
      </c>
      <c r="J9" s="9"/>
      <c r="K9" s="24"/>
      <c r="L9" s="9"/>
      <c r="M9" s="9"/>
      <c r="N9" s="11"/>
      <c r="O9" s="12"/>
    </row>
    <row r="10" spans="1:15" ht="13.2" x14ac:dyDescent="0.25">
      <c r="A10" s="19" t="s">
        <v>35</v>
      </c>
      <c r="B10" s="20"/>
      <c r="C10" s="20"/>
      <c r="D10" s="20"/>
      <c r="E10" s="20"/>
      <c r="F10" s="20"/>
      <c r="G10" s="20"/>
      <c r="H10" s="20"/>
      <c r="I10" s="20"/>
      <c r="J10" s="20"/>
      <c r="K10" s="20"/>
      <c r="L10" s="20"/>
      <c r="M10" s="21"/>
      <c r="N10" s="11"/>
      <c r="O10" s="12"/>
    </row>
    <row r="11" spans="1:15" ht="118.8" outlineLevel="1" x14ac:dyDescent="0.25">
      <c r="A11" s="22" t="str">
        <f t="shared" ref="A11:A13" si="0">IF(H11="","","TC_"&amp;ROW()-7-COUNTBLANK(H$9:H11))</f>
        <v>TC_3</v>
      </c>
      <c r="B11" s="26" t="s">
        <v>36</v>
      </c>
      <c r="C11" s="9"/>
      <c r="D11" s="23" t="s">
        <v>25</v>
      </c>
      <c r="E11" s="9" t="s">
        <v>37</v>
      </c>
      <c r="F11" s="9" t="s">
        <v>38</v>
      </c>
      <c r="G11" s="27" t="s">
        <v>39</v>
      </c>
      <c r="H11" s="27" t="s">
        <v>40</v>
      </c>
      <c r="I11" s="9" t="s">
        <v>5</v>
      </c>
      <c r="J11" s="9"/>
      <c r="K11" s="28"/>
      <c r="L11" s="9"/>
      <c r="M11" s="9"/>
      <c r="N11" s="11"/>
      <c r="O11" s="12"/>
    </row>
    <row r="12" spans="1:15" ht="158.4" outlineLevel="1" x14ac:dyDescent="0.25">
      <c r="A12" s="22" t="str">
        <f t="shared" si="0"/>
        <v>TC_4</v>
      </c>
      <c r="B12" s="29"/>
      <c r="C12" s="9"/>
      <c r="D12" s="25"/>
      <c r="E12" s="9" t="s">
        <v>41</v>
      </c>
      <c r="F12" s="9" t="s">
        <v>42</v>
      </c>
      <c r="G12" s="27" t="s">
        <v>43</v>
      </c>
      <c r="H12" s="27" t="s">
        <v>44</v>
      </c>
      <c r="I12" s="9" t="s">
        <v>5</v>
      </c>
      <c r="J12" s="9"/>
      <c r="K12" s="28"/>
      <c r="L12" s="9"/>
      <c r="M12" s="9"/>
      <c r="N12" s="11"/>
      <c r="O12" s="12"/>
    </row>
    <row r="13" spans="1:15" ht="132" outlineLevel="1" x14ac:dyDescent="0.25">
      <c r="A13" s="22" t="str">
        <f t="shared" si="0"/>
        <v>TC_5</v>
      </c>
      <c r="B13" s="25"/>
      <c r="C13" s="9"/>
      <c r="D13" s="9" t="s">
        <v>31</v>
      </c>
      <c r="E13" s="9" t="s">
        <v>45</v>
      </c>
      <c r="F13" s="9" t="s">
        <v>46</v>
      </c>
      <c r="G13" s="27" t="s">
        <v>47</v>
      </c>
      <c r="H13" s="27" t="s">
        <v>48</v>
      </c>
      <c r="I13" s="9" t="s">
        <v>5</v>
      </c>
      <c r="J13" s="9"/>
      <c r="K13" s="28"/>
      <c r="L13" s="9"/>
      <c r="M13" s="9"/>
      <c r="N13" s="11"/>
      <c r="O13" s="12"/>
    </row>
    <row r="14" spans="1:15" ht="13.2" x14ac:dyDescent="0.25">
      <c r="A14" s="19" t="s">
        <v>49</v>
      </c>
      <c r="B14" s="20"/>
      <c r="C14" s="20"/>
      <c r="D14" s="20"/>
      <c r="E14" s="20"/>
      <c r="F14" s="20"/>
      <c r="G14" s="20"/>
      <c r="H14" s="20"/>
      <c r="I14" s="20"/>
      <c r="J14" s="20"/>
      <c r="K14" s="20"/>
      <c r="L14" s="20"/>
      <c r="M14" s="21"/>
      <c r="N14" s="11"/>
      <c r="O14" s="12"/>
    </row>
    <row r="15" spans="1:15" ht="158.4" outlineLevel="1" x14ac:dyDescent="0.25">
      <c r="A15" s="22" t="str">
        <f t="shared" ref="A15:A16" si="1">IF(H15="","","TC_"&amp;ROW()-7-COUNTBLANK(H$9:H15))</f>
        <v>TC_6</v>
      </c>
      <c r="B15" s="26" t="s">
        <v>36</v>
      </c>
      <c r="C15" s="9"/>
      <c r="D15" s="23" t="s">
        <v>25</v>
      </c>
      <c r="E15" s="9" t="s">
        <v>50</v>
      </c>
      <c r="F15" s="9" t="s">
        <v>51</v>
      </c>
      <c r="G15" s="27" t="s">
        <v>52</v>
      </c>
      <c r="H15" s="27" t="s">
        <v>53</v>
      </c>
      <c r="I15" s="9" t="s">
        <v>5</v>
      </c>
      <c r="J15" s="9"/>
      <c r="K15" s="28"/>
      <c r="L15" s="9"/>
      <c r="M15" s="9"/>
      <c r="N15" s="11"/>
      <c r="O15" s="12"/>
    </row>
    <row r="16" spans="1:15" ht="118.8" outlineLevel="1" x14ac:dyDescent="0.25">
      <c r="A16" s="22" t="str">
        <f t="shared" si="1"/>
        <v>TC_7</v>
      </c>
      <c r="B16" s="25"/>
      <c r="C16" s="9"/>
      <c r="D16" s="25"/>
      <c r="E16" s="9" t="s">
        <v>54</v>
      </c>
      <c r="F16" s="9" t="s">
        <v>55</v>
      </c>
      <c r="G16" s="27" t="s">
        <v>56</v>
      </c>
      <c r="H16" s="27" t="s">
        <v>57</v>
      </c>
      <c r="I16" s="9" t="s">
        <v>5</v>
      </c>
      <c r="J16" s="9"/>
      <c r="K16" s="28"/>
      <c r="L16" s="9"/>
      <c r="M16" s="9"/>
      <c r="N16" s="11"/>
      <c r="O16" s="12"/>
    </row>
    <row r="17" spans="1:15" ht="13.2" x14ac:dyDescent="0.25">
      <c r="A17" s="19" t="s">
        <v>58</v>
      </c>
      <c r="B17" s="20"/>
      <c r="C17" s="20"/>
      <c r="D17" s="20"/>
      <c r="E17" s="20"/>
      <c r="F17" s="20"/>
      <c r="G17" s="20"/>
      <c r="H17" s="20"/>
      <c r="I17" s="20"/>
      <c r="J17" s="20"/>
      <c r="K17" s="20"/>
      <c r="L17" s="20"/>
      <c r="M17" s="21"/>
      <c r="N17" s="11"/>
      <c r="O17" s="12"/>
    </row>
    <row r="18" spans="1:15" ht="132" outlineLevel="1" x14ac:dyDescent="0.25">
      <c r="A18" s="22" t="str">
        <f t="shared" ref="A18:A20" si="2">IF(H18="","","TC_"&amp;ROW()-7-COUNTBLANK(H$9:H18))</f>
        <v>TC_8</v>
      </c>
      <c r="B18" s="26" t="s">
        <v>36</v>
      </c>
      <c r="C18" s="9"/>
      <c r="D18" s="23" t="s">
        <v>25</v>
      </c>
      <c r="E18" s="9" t="s">
        <v>59</v>
      </c>
      <c r="F18" s="9" t="s">
        <v>60</v>
      </c>
      <c r="G18" s="27" t="s">
        <v>61</v>
      </c>
      <c r="H18" s="27" t="s">
        <v>62</v>
      </c>
      <c r="I18" s="9" t="s">
        <v>5</v>
      </c>
      <c r="J18" s="9"/>
      <c r="K18" s="28"/>
      <c r="L18" s="9"/>
      <c r="M18" s="9"/>
      <c r="N18" s="11"/>
      <c r="O18" s="12"/>
    </row>
    <row r="19" spans="1:15" ht="118.8" outlineLevel="1" x14ac:dyDescent="0.25">
      <c r="A19" s="22" t="str">
        <f t="shared" si="2"/>
        <v>TC_9</v>
      </c>
      <c r="B19" s="29"/>
      <c r="C19" s="9"/>
      <c r="D19" s="25"/>
      <c r="E19" s="9" t="s">
        <v>63</v>
      </c>
      <c r="F19" s="9" t="s">
        <v>55</v>
      </c>
      <c r="G19" s="27" t="s">
        <v>56</v>
      </c>
      <c r="H19" s="27" t="s">
        <v>64</v>
      </c>
      <c r="I19" s="9" t="s">
        <v>7</v>
      </c>
      <c r="J19" s="9"/>
      <c r="K19" s="28"/>
      <c r="L19" s="9"/>
      <c r="M19" s="9"/>
      <c r="N19" s="11"/>
      <c r="O19" s="12"/>
    </row>
    <row r="20" spans="1:15" ht="118.8" outlineLevel="1" x14ac:dyDescent="0.25">
      <c r="A20" s="22" t="str">
        <f t="shared" si="2"/>
        <v>TC_10</v>
      </c>
      <c r="B20" s="25"/>
      <c r="C20" s="9"/>
      <c r="D20" s="9" t="s">
        <v>25</v>
      </c>
      <c r="E20" s="9" t="s">
        <v>65</v>
      </c>
      <c r="F20" s="9" t="s">
        <v>55</v>
      </c>
      <c r="G20" s="27" t="s">
        <v>66</v>
      </c>
      <c r="H20" s="27" t="s">
        <v>67</v>
      </c>
      <c r="I20" s="9" t="s">
        <v>5</v>
      </c>
      <c r="J20" s="9"/>
      <c r="K20" s="28"/>
      <c r="L20" s="9"/>
      <c r="M20" s="9"/>
      <c r="N20" s="11"/>
      <c r="O20" s="12"/>
    </row>
  </sheetData>
  <mergeCells count="12">
    <mergeCell ref="A14:M14"/>
    <mergeCell ref="B15:B16"/>
    <mergeCell ref="D15:D16"/>
    <mergeCell ref="A17:M17"/>
    <mergeCell ref="B18:B20"/>
    <mergeCell ref="D18:D19"/>
    <mergeCell ref="A1:E1"/>
    <mergeCell ref="A7:M7"/>
    <mergeCell ref="B8:B9"/>
    <mergeCell ref="A10:M10"/>
    <mergeCell ref="B11:B13"/>
    <mergeCell ref="D11:D12"/>
  </mergeCells>
  <dataValidations count="1">
    <dataValidation type="list" allowBlank="1" showErrorMessage="1" sqref="I8:I9 I11:I13 I15:I16 I18:I20" xr:uid="{4033D227-BB1B-4364-8BCA-C53BAC0269D9}">
      <formula1>"Pass,Fail,Pending"</formula1>
    </dataValidation>
  </dataValidations>
  <hyperlinks>
    <hyperlink ref="G1" r:id="rId1" xr:uid="{A6E51B46-BC38-4556-99D3-E3B429F65964}"/>
    <hyperlink ref="H1" r:id="rId2" xr:uid="{A0FA93BF-F1F7-4AC7-9127-ABB3C512D1DD}"/>
    <hyperlink ref="G3" r:id="rId3" xr:uid="{229FA60A-2623-42E4-A9EC-0EB65BE9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Payment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VIỆT HƯNG</dc:creator>
  <cp:lastModifiedBy>NGUYỄN VIỆT HƯNG</cp:lastModifiedBy>
  <dcterms:created xsi:type="dcterms:W3CDTF">2026-07-15T07:09:52Z</dcterms:created>
  <dcterms:modified xsi:type="dcterms:W3CDTF">2026-07-15T07:10:28Z</dcterms:modified>
</cp:coreProperties>
</file>