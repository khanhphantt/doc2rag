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mkha\Downloads\data_15\data_15\chatbot\"/>
    </mc:Choice>
  </mc:AlternateContent>
  <xr:revisionPtr revIDLastSave="0" documentId="13_ncr:1_{01780929-E9D5-472E-8399-8F91AF2BC11E}" xr6:coauthVersionLast="47" xr6:coauthVersionMax="47" xr10:uidLastSave="{00000000-0000-0000-0000-000000000000}"/>
  <bookViews>
    <workbookView xWindow="-120" yWindow="-120" windowWidth="29040" windowHeight="17520" xr2:uid="{07F53A13-1D5A-4416-AB4F-0EF3AB03041F}"/>
  </bookViews>
  <sheets>
    <sheet name="4. Chatbot" sheetId="1" r:id="rId1"/>
  </sheets>
  <definedNames>
    <definedName name="MY_FUNCTION1">_xludf.LAMBDA(IF(#REF!="","","TC_"&amp;ROW()-9-COUNTBLANK(#REF!)))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A8" i="1"/>
  <c r="A9" i="1"/>
  <c r="A12" i="1"/>
  <c r="A13" i="1"/>
  <c r="A14" i="1"/>
  <c r="A15" i="1"/>
  <c r="A16" i="1"/>
  <c r="A17" i="1"/>
  <c r="A18" i="1"/>
  <c r="A19" i="1"/>
  <c r="A21" i="1"/>
  <c r="A22" i="1"/>
  <c r="A23" i="1"/>
  <c r="A24" i="1"/>
  <c r="A25" i="1"/>
  <c r="A26" i="1"/>
  <c r="A28" i="1"/>
  <c r="A29" i="1"/>
  <c r="A30" i="1"/>
  <c r="A31" i="1"/>
  <c r="A33" i="1"/>
  <c r="A35" i="1"/>
  <c r="A37" i="1"/>
  <c r="A39" i="1"/>
  <c r="A41" i="1"/>
  <c r="A42" i="1"/>
  <c r="A43" i="1"/>
  <c r="A44" i="1"/>
  <c r="A45" i="1"/>
  <c r="A46" i="1"/>
  <c r="A48" i="1"/>
  <c r="A49" i="1"/>
  <c r="A50" i="1"/>
  <c r="A51" i="1"/>
  <c r="A52" i="1"/>
  <c r="A53" i="1"/>
  <c r="A54" i="1"/>
  <c r="A56" i="1"/>
  <c r="A57" i="1"/>
  <c r="A58" i="1"/>
  <c r="A59" i="1"/>
  <c r="A60" i="1"/>
  <c r="A62" i="1"/>
  <c r="A63" i="1"/>
  <c r="A64" i="1"/>
  <c r="A65" i="1"/>
</calcChain>
</file>

<file path=xl/sharedStrings.xml><?xml version="1.0" encoding="utf-8"?>
<sst xmlns="http://schemas.openxmlformats.org/spreadsheetml/2006/main" count="177" uniqueCount="117">
  <si>
    <t>https://tokyotechies.kleversuite.net/project/CHAT-33840</t>
  </si>
  <si>
    <t>Where are you?</t>
  </si>
  <si>
    <t>https://tokyotechies.kleversuite.net/project/CHAT-30258</t>
  </si>
  <si>
    <t>Their &gt; Our</t>
  </si>
  <si>
    <t>Bug:</t>
  </si>
  <si>
    <t>Pass</t>
  </si>
  <si>
    <t>same as above</t>
  </si>
  <si>
    <t>Chatbot UI &gt; "talk to human" button &gt; Receive escalation copy email</t>
  </si>
  <si>
    <t>Email notification of escalated conversation to business owner</t>
  </si>
  <si>
    <t>https://tokyotechies.kleversuite.net/wiki/KOTAEDOC-7605</t>
  </si>
  <si>
    <t>Email notification to the end user who asked for the hand over to human</t>
  </si>
  <si>
    <t>Escalated Conversation</t>
  </si>
  <si>
    <t>Chatbot is still not usable.
When chat with chatbot, chatbot will answer: 
"Sorry, we are under maintenance!"</t>
  </si>
  <si>
    <t>1. Login to sytem
2. Use the chatbot and send the message reach 80% capacity of usage for the month</t>
  </si>
  <si>
    <t>Use chatbot when reach Maximum capacity of usage for the month</t>
  </si>
  <si>
    <t>Chatbot is still usable</t>
  </si>
  <si>
    <t>Use chatbot when reach 80% capacity of usage for the month</t>
  </si>
  <si>
    <t>Chatbot Capicity Usage of the month</t>
  </si>
  <si>
    <t>Notification Emails</t>
  </si>
  <si>
    <t xml:space="preserve">In chatbot's answer, display all keyword </t>
  </si>
  <si>
    <t>Ask questions related to keywords and Website, file, FAQ's data</t>
  </si>
  <si>
    <t>In chatbot's answer, display all keyword</t>
  </si>
  <si>
    <t>Ask questions related to keywords and FAQ's data</t>
  </si>
  <si>
    <t>Ask questions related to keywords and file data</t>
  </si>
  <si>
    <t>In chatbot's answer, display all keyword
Note:
The Priority is:
- Keywords
- FAQ
- Website/ File Data</t>
  </si>
  <si>
    <t>Ask questions related to keywords and Website data</t>
  </si>
  <si>
    <t>In chatbot's answer, display the keyword to the link (when click the link it opens in other tab)</t>
  </si>
  <si>
    <t>Ask questions related to keywords only</t>
  </si>
  <si>
    <t>Ask questions related to keywords</t>
  </si>
  <si>
    <t>- Each answer is thumbed up or down corresponding
- In chat history, the thumb up or down displays for the answer corresponding</t>
  </si>
  <si>
    <t>Ask multiple questions, then thumbs up/down for multiple answers</t>
  </si>
  <si>
    <t>- The answer is thumbed up
- In chat history, the thumb up displays for the answer</t>
  </si>
  <si>
    <t>Thumbs down then thumbs up an answer</t>
  </si>
  <si>
    <t>- The answer is thumbed down
- In chat history, the thumb down displays for the answer</t>
  </si>
  <si>
    <t>Thumbs up then thumbs down an answer</t>
  </si>
  <si>
    <t>- The answer is not given any thumb down
- In chat history, the thumb down disappear for the answer</t>
  </si>
  <si>
    <t>Un-thumbs down an answer</t>
  </si>
  <si>
    <t>Thumbs down an answer</t>
  </si>
  <si>
    <t>- The answer is not given any thumb ub
- In chat history, the thumb up disappear for the answer</t>
  </si>
  <si>
    <t>Un-thumbs up an answer</t>
  </si>
  <si>
    <t>Thumbs up an answer</t>
  </si>
  <si>
    <t>Thumb up/ down the answer</t>
  </si>
  <si>
    <t>- Unsuccessfully send the escalated support request</t>
  </si>
  <si>
    <t>Stop flow after click Yes in Escalated Flow Notification</t>
  </si>
  <si>
    <t>Stop flow after click No in Escalated Flow Notification</t>
  </si>
  <si>
    <t>Stop flow after click Escalated Support</t>
  </si>
  <si>
    <t>Ask for Escalated Support and stop at the middle of the flow</t>
  </si>
  <si>
    <t>Error Message displays</t>
  </si>
  <si>
    <t>Fill empty in required fields</t>
  </si>
  <si>
    <t>Fill over max length in each fields</t>
  </si>
  <si>
    <t>- Successfully send the escalated support request
- In Analytics page, the escalated request displays
- In chat history, the question is marked as Escalated
- Email sends to user
- Email sends to admin</t>
  </si>
  <si>
    <t>Fill all in required fields</t>
  </si>
  <si>
    <t>Ask for Escalated Support and complete the flow</t>
  </si>
  <si>
    <t>Escalated Support</t>
  </si>
  <si>
    <t>Prioritize answer from FAQs</t>
  </si>
  <si>
    <t>Ask question with same questions but different answers in resources</t>
  </si>
  <si>
    <t>Train chatbot with Website URL + File Data + FAQ</t>
  </si>
  <si>
    <t>Train chatbot with File data + FAQ</t>
  </si>
  <si>
    <t>Train chatbot with Website URL + FAQ</t>
  </si>
  <si>
    <t>Provide both answers from 2 resources</t>
  </si>
  <si>
    <t>Train chatbot with Website URL + File Data</t>
  </si>
  <si>
    <t>Answer properly</t>
  </si>
  <si>
    <t>Ask question with Long question &amp; Long answer, Maximum file size, Complex site map, different languages</t>
  </si>
  <si>
    <t>Fail</t>
  </si>
  <si>
    <t>Prioritize newest answer in FAQs</t>
  </si>
  <si>
    <t>Ask question with same questions but different answers in FAQs</t>
  </si>
  <si>
    <t>Ask question with similar meaning of questions in FAQs</t>
  </si>
  <si>
    <t>Ask question in FAQs</t>
  </si>
  <si>
    <t>Train chatbot with FAQs</t>
  </si>
  <si>
    <t>https://tokyotechies.kleversuite.net/project/CHAT-29784</t>
  </si>
  <si>
    <t>Ask question with similar meaning of questions in File Data</t>
  </si>
  <si>
    <t>https://tokyotechies.kleversuite.net/project/CHAT-29773</t>
  </si>
  <si>
    <t>Ask question after upload multiple files with different answers inside files</t>
  </si>
  <si>
    <t>Ask question after upload multiple files</t>
  </si>
  <si>
    <t>Ask question after upload single file with different answers inside file</t>
  </si>
  <si>
    <t>Ask question after upload single file</t>
  </si>
  <si>
    <t>Train chatbot with File Data</t>
  </si>
  <si>
    <t>Ask question with similar meaning of questions in Website URL</t>
  </si>
  <si>
    <t>Ask question about Website URL with conflict answers inside Website</t>
  </si>
  <si>
    <t>Ask question with conflict answers in previous &amp; new Website URL after update new Website URL</t>
  </si>
  <si>
    <t>Ask question belongs to previous Website URL after update new Website URL</t>
  </si>
  <si>
    <t>Ask question belongs to new Website URL after update new Website URL</t>
  </si>
  <si>
    <t>https://tokyotechies.kleversuite.net/project/CHAT-29399</t>
  </si>
  <si>
    <t>Ask question after submit initial Website URL</t>
  </si>
  <si>
    <t>Ask question about Website URL before submit initial Website URL</t>
  </si>
  <si>
    <t>Train chatbot with Website URL</t>
  </si>
  <si>
    <t>Chatbot Behaviors</t>
  </si>
  <si>
    <t>- Display updated UI normally in integrated website
- Chatbot works normally in integrated website</t>
  </si>
  <si>
    <t>Chatbot's UI updates after update Chatbot's Configuration</t>
  </si>
  <si>
    <t xml:space="preserve">Chatbot's UI updates </t>
  </si>
  <si>
    <t>https://tokyotechies.kleversuite.net/project/CHAT-30017</t>
  </si>
  <si>
    <t>- Display normally in integrated website
- Chatbot works normally in integrated website</t>
  </si>
  <si>
    <t>Integrate chatbot to website</t>
  </si>
  <si>
    <t>Integrate chatbot</t>
  </si>
  <si>
    <t xml:space="preserve">
UI</t>
  </si>
  <si>
    <t>-</t>
  </si>
  <si>
    <t>Chatbot Integration</t>
  </si>
  <si>
    <t>Auto e2e</t>
  </si>
  <si>
    <t>Remarks</t>
  </si>
  <si>
    <t>Test Date</t>
  </si>
  <si>
    <t>Tester</t>
  </si>
  <si>
    <t>Pass/Fail</t>
  </si>
  <si>
    <t>Expected</t>
  </si>
  <si>
    <t>Step</t>
  </si>
  <si>
    <t>Precondition</t>
  </si>
  <si>
    <t>Sub cases</t>
  </si>
  <si>
    <t>Test case</t>
  </si>
  <si>
    <t>Type</t>
  </si>
  <si>
    <t>Requirement ID</t>
  </si>
  <si>
    <t>No</t>
  </si>
  <si>
    <t>Pending</t>
  </si>
  <si>
    <r>
      <rPr>
        <sz val="10"/>
        <color rgb="FF000000"/>
        <rFont val="Arial"/>
      </rPr>
      <t xml:space="preserve">Bug: </t>
    </r>
    <r>
      <rPr>
        <u/>
        <sz val="10"/>
        <color rgb="FF1155CC"/>
        <rFont val="Arial"/>
      </rPr>
      <t>https://tokyotechies.kleversuite.net/project/CHAT-28672</t>
    </r>
  </si>
  <si>
    <t xml:space="preserve">Figma: </t>
  </si>
  <si>
    <t>Total testcase</t>
  </si>
  <si>
    <r>
      <t xml:space="preserve">Escalated Support: </t>
    </r>
    <r>
      <rPr>
        <u/>
        <sz val="10"/>
        <color rgb="FF1155CC"/>
        <rFont val="Arial"/>
      </rPr>
      <t>https://tokyotechies.kleversuite.net/wiki/KOTAEDOC-8058</t>
    </r>
  </si>
  <si>
    <r>
      <t xml:space="preserve">SRS: </t>
    </r>
    <r>
      <rPr>
        <u/>
        <sz val="10"/>
        <color rgb="FF1155CC"/>
        <rFont val="Arial"/>
      </rPr>
      <t>https://tokyotechies.kleversuite.net/wiki/104-5581</t>
    </r>
  </si>
  <si>
    <t>Chatbot - Smart Catbot System - Test cases: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</si>
</sst>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4"/>
      <color theme="1"/>
      <name val="Arial"/>
      <scheme val="minor"/>
    </font>
    <font>
      <u/>
      <sz val="10"/>
      <color rgb="FF000000"/>
      <name val="Arial"/>
    </font>
    <font>
      <u/>
      <sz val="10"/>
      <color rgb="FF1155CC"/>
      <name val="Arial"/>
    </font>
    <font>
      <sz val="14"/>
      <color rgb="FFFFFFFF"/>
      <name val="Arial"/>
      <scheme val="minor"/>
    </font>
    <font>
      <b/>
      <sz val="14"/>
      <color rgb="FF3D85C6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16" fontId="1" fillId="0" borderId="1" xfId="0" applyNumberFormat="1" applyFont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6" fillId="3" borderId="6" xfId="0" applyFont="1" applyFill="1" applyBorder="1" applyAlignment="1">
      <alignment vertical="center"/>
    </xf>
    <xf numFmtId="0" fontId="4" fillId="0" borderId="5" xfId="0" applyFont="1" applyBorder="1"/>
    <xf numFmtId="0" fontId="4" fillId="0" borderId="4" xfId="0" applyFont="1" applyBorder="1"/>
    <xf numFmtId="0" fontId="1" fillId="0" borderId="3" xfId="0" applyFont="1" applyBorder="1"/>
    <xf numFmtId="0" fontId="4" fillId="0" borderId="2" xfId="0" applyFont="1" applyBorder="1"/>
    <xf numFmtId="0" fontId="1" fillId="0" borderId="3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0" fillId="0" borderId="0" xfId="0"/>
    <xf numFmtId="0" fontId="1" fillId="0" borderId="3" xfId="0" applyFont="1" applyBorder="1" applyAlignment="1">
      <alignment horizontal="left" vertical="center" wrapText="1"/>
    </xf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okyotechies.kleversuite.net/project/CHAT-2977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tokyotechies.kleversuite.net/project/CHAT-28672" TargetMode="External"/><Relationship Id="rId7" Type="http://schemas.openxmlformats.org/officeDocument/2006/relationships/hyperlink" Target="https://tokyotechies.kleversuite.net/project/CHAT-29773" TargetMode="External"/><Relationship Id="rId12" Type="http://schemas.openxmlformats.org/officeDocument/2006/relationships/hyperlink" Target="https://tokyotechies.kleversuite.net/project/CHAT-33840" TargetMode="External"/><Relationship Id="rId2" Type="http://schemas.openxmlformats.org/officeDocument/2006/relationships/hyperlink" Target="https://tokyotechies.kleversuite.net/wiki/KOTAEDOC-8058" TargetMode="External"/><Relationship Id="rId1" Type="http://schemas.openxmlformats.org/officeDocument/2006/relationships/hyperlink" Target="https://tokyotechies.kleversuite.net/wiki/104-5581" TargetMode="External"/><Relationship Id="rId6" Type="http://schemas.openxmlformats.org/officeDocument/2006/relationships/hyperlink" Target="https://tokyotechies.kleversuite.net/project/CHAT-29784" TargetMode="External"/><Relationship Id="rId11" Type="http://schemas.openxmlformats.org/officeDocument/2006/relationships/hyperlink" Target="https://tokyotechies.kleversuite.net/project/CHAT-30258" TargetMode="External"/><Relationship Id="rId5" Type="http://schemas.openxmlformats.org/officeDocument/2006/relationships/hyperlink" Target="https://tokyotechies.kleversuite.net/project/CHAT-29399" TargetMode="External"/><Relationship Id="rId10" Type="http://schemas.openxmlformats.org/officeDocument/2006/relationships/hyperlink" Target="https://tokyotechies.kleversuite.net/wiki/KOTAEDOC-7605" TargetMode="External"/><Relationship Id="rId4" Type="http://schemas.openxmlformats.org/officeDocument/2006/relationships/hyperlink" Target="https://tokyotechies.kleversuite.net/project/CHAT-30017" TargetMode="External"/><Relationship Id="rId9" Type="http://schemas.openxmlformats.org/officeDocument/2006/relationships/hyperlink" Target="https://tokyotechies.kleversuite.net/project/CHAT-297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C287-16E2-4395-AA13-8657C2D2B934}">
  <sheetPr>
    <outlinePr summaryBelow="0" summaryRight="0"/>
    <pageSetUpPr fitToPage="1"/>
  </sheetPr>
  <dimension ref="A1:O71"/>
  <sheetViews>
    <sheetView showGridLines="0" tabSelected="1" zoomScale="55" zoomScaleNormal="55" workbookViewId="0">
      <pane ySplit="6" topLeftCell="A22" activePane="bottomLeft" state="frozen"/>
      <selection pane="bottomLeft" activeCell="A6" sqref="A6"/>
    </sheetView>
  </sheetViews>
  <sheetFormatPr defaultColWidth="12.7109375" defaultRowHeight="15.75" customHeight="1" outlineLevelRow="1" x14ac:dyDescent="0.2"/>
  <cols>
    <col min="1" max="1" width="9.140625" customWidth="1"/>
    <col min="2" max="2" width="15.28515625" customWidth="1"/>
    <col min="3" max="3" width="10.28515625" hidden="1" customWidth="1"/>
    <col min="4" max="4" width="24.140625" customWidth="1"/>
    <col min="5" max="5" width="30.28515625" customWidth="1"/>
    <col min="6" max="6" width="14.7109375" customWidth="1"/>
    <col min="7" max="7" width="39" customWidth="1"/>
    <col min="8" max="8" width="32" customWidth="1"/>
    <col min="9" max="9" width="15.28515625" customWidth="1"/>
    <col min="10" max="10" width="17.7109375" customWidth="1"/>
    <col min="11" max="11" width="20.7109375" customWidth="1"/>
    <col min="12" max="12" width="25" customWidth="1"/>
    <col min="13" max="13" width="31.28515625" customWidth="1"/>
  </cols>
  <sheetData>
    <row r="1" spans="1:15" ht="20.25" customHeight="1" x14ac:dyDescent="0.2">
      <c r="A1" s="41" t="s">
        <v>116</v>
      </c>
      <c r="B1" s="42"/>
      <c r="C1" s="42"/>
      <c r="D1" s="42"/>
      <c r="E1" s="42"/>
      <c r="F1" s="28"/>
      <c r="G1" s="34" t="s">
        <v>115</v>
      </c>
      <c r="H1" s="28"/>
      <c r="I1" s="34" t="s">
        <v>114</v>
      </c>
      <c r="J1" s="28"/>
      <c r="K1" s="28"/>
      <c r="L1" s="28"/>
      <c r="M1" s="28"/>
      <c r="N1" s="33"/>
      <c r="O1" s="32"/>
    </row>
    <row r="2" spans="1:15" ht="18" x14ac:dyDescent="0.2">
      <c r="A2" s="3"/>
      <c r="B2" s="3"/>
      <c r="C2" s="3"/>
      <c r="D2" s="3"/>
      <c r="E2" s="30" t="s">
        <v>113</v>
      </c>
      <c r="F2" s="9">
        <f>COUNTA(H8:H862)</f>
        <v>46</v>
      </c>
      <c r="G2" s="27" t="s">
        <v>112</v>
      </c>
      <c r="H2" s="28"/>
      <c r="I2" s="27"/>
      <c r="J2" s="27"/>
      <c r="K2" s="27"/>
      <c r="L2" s="27"/>
      <c r="M2" s="27"/>
      <c r="N2" s="2"/>
      <c r="O2" s="1"/>
    </row>
    <row r="3" spans="1:15" ht="18" x14ac:dyDescent="0.2">
      <c r="A3" s="3"/>
      <c r="B3" s="3"/>
      <c r="C3" s="3"/>
      <c r="D3" s="3"/>
      <c r="E3" s="30" t="s">
        <v>5</v>
      </c>
      <c r="F3" s="29">
        <f>COUNTIF($I$7:I862,"Pass")</f>
        <v>20</v>
      </c>
      <c r="G3" s="31" t="s">
        <v>111</v>
      </c>
      <c r="H3" s="28"/>
      <c r="I3" s="27"/>
      <c r="J3" s="27"/>
      <c r="K3" s="27"/>
      <c r="L3" s="27"/>
      <c r="M3" s="27"/>
      <c r="N3" s="2"/>
      <c r="O3" s="1"/>
    </row>
    <row r="4" spans="1:15" ht="18" x14ac:dyDescent="0.2">
      <c r="A4" s="3"/>
      <c r="B4" s="3"/>
      <c r="C4" s="3"/>
      <c r="D4" s="3"/>
      <c r="E4" s="30" t="s">
        <v>63</v>
      </c>
      <c r="F4" s="29">
        <f>COUNTIF($I$8:I862,"Fail")</f>
        <v>7</v>
      </c>
      <c r="G4" s="27"/>
      <c r="H4" s="28"/>
      <c r="I4" s="27"/>
      <c r="J4" s="27"/>
      <c r="K4" s="27"/>
      <c r="L4" s="27"/>
      <c r="M4" s="27"/>
      <c r="N4" s="2"/>
      <c r="O4" s="1"/>
    </row>
    <row r="5" spans="1:15" ht="18" x14ac:dyDescent="0.2">
      <c r="A5" s="3"/>
      <c r="B5" s="3"/>
      <c r="C5" s="3"/>
      <c r="D5" s="3"/>
      <c r="E5" s="30" t="s">
        <v>110</v>
      </c>
      <c r="F5" s="29">
        <f>COUNTIF($I$8:I862,"Pending")</f>
        <v>0</v>
      </c>
      <c r="G5" s="27"/>
      <c r="H5" s="28"/>
      <c r="I5" s="27"/>
      <c r="J5" s="27"/>
      <c r="K5" s="27"/>
      <c r="L5" s="27"/>
      <c r="M5" s="27"/>
      <c r="N5" s="2"/>
      <c r="O5" s="1"/>
    </row>
    <row r="6" spans="1:15" ht="12.75" x14ac:dyDescent="0.2">
      <c r="A6" s="24" t="s">
        <v>109</v>
      </c>
      <c r="B6" s="24" t="s">
        <v>108</v>
      </c>
      <c r="C6" s="26" t="s">
        <v>107</v>
      </c>
      <c r="D6" s="25" t="s">
        <v>106</v>
      </c>
      <c r="E6" s="24" t="s">
        <v>105</v>
      </c>
      <c r="F6" s="24" t="s">
        <v>104</v>
      </c>
      <c r="G6" s="24" t="s">
        <v>103</v>
      </c>
      <c r="H6" s="24" t="s">
        <v>102</v>
      </c>
      <c r="I6" s="24" t="s">
        <v>101</v>
      </c>
      <c r="J6" s="24" t="s">
        <v>100</v>
      </c>
      <c r="K6" s="24" t="s">
        <v>99</v>
      </c>
      <c r="L6" s="24" t="s">
        <v>98</v>
      </c>
      <c r="M6" s="24" t="s">
        <v>97</v>
      </c>
      <c r="N6" s="2"/>
      <c r="O6" s="23"/>
    </row>
    <row r="7" spans="1:15" ht="12.75" x14ac:dyDescent="0.2">
      <c r="A7" s="35" t="s">
        <v>96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7"/>
      <c r="N7" s="2"/>
      <c r="O7" s="2"/>
    </row>
    <row r="8" spans="1:15" ht="51" outlineLevel="1" x14ac:dyDescent="0.2">
      <c r="A8" s="13" t="str">
        <f>IF(H8="","","TC_"&amp;ROW()-7-COUNTBLANK(H8:H$9))</f>
        <v>TC_1</v>
      </c>
      <c r="B8" s="43" t="s">
        <v>95</v>
      </c>
      <c r="C8" s="9" t="s">
        <v>94</v>
      </c>
      <c r="D8" s="9" t="s">
        <v>93</v>
      </c>
      <c r="E8" s="9" t="s">
        <v>92</v>
      </c>
      <c r="F8" s="9"/>
      <c r="G8" s="9"/>
      <c r="H8" s="9" t="s">
        <v>91</v>
      </c>
      <c r="I8" s="9" t="s">
        <v>63</v>
      </c>
      <c r="J8" s="9"/>
      <c r="K8" s="22"/>
      <c r="L8" s="21" t="s">
        <v>90</v>
      </c>
      <c r="M8" s="9"/>
      <c r="N8" s="2"/>
      <c r="O8" s="1"/>
    </row>
    <row r="9" spans="1:15" ht="51" outlineLevel="1" x14ac:dyDescent="0.2">
      <c r="A9" s="13" t="str">
        <f>IF(H9="","","TC_"&amp;ROW()-7-COUNTBLANK(H9:H$9))</f>
        <v>TC_2</v>
      </c>
      <c r="B9" s="39"/>
      <c r="C9" s="9"/>
      <c r="D9" s="9" t="s">
        <v>89</v>
      </c>
      <c r="E9" s="9" t="s">
        <v>88</v>
      </c>
      <c r="F9" s="9"/>
      <c r="G9" s="9"/>
      <c r="H9" s="9" t="s">
        <v>87</v>
      </c>
      <c r="I9" s="9" t="s">
        <v>5</v>
      </c>
      <c r="J9" s="9"/>
      <c r="K9" s="22"/>
      <c r="L9" s="9"/>
      <c r="M9" s="9"/>
      <c r="N9" s="2"/>
      <c r="O9" s="1"/>
    </row>
    <row r="10" spans="1:15" ht="12.75" x14ac:dyDescent="0.2">
      <c r="A10" s="35" t="s">
        <v>86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7"/>
      <c r="N10" s="2"/>
      <c r="O10" s="1"/>
    </row>
    <row r="11" spans="1:15" ht="12.75" outlineLevel="1" x14ac:dyDescent="0.2">
      <c r="A11" s="19" t="s">
        <v>85</v>
      </c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"/>
      <c r="O11" s="1"/>
    </row>
    <row r="12" spans="1:15" ht="38.25" outlineLevel="1" x14ac:dyDescent="0.2">
      <c r="A12" s="13" t="str">
        <f>IF(H12="","","TC_"&amp;ROW()-7-COUNTBLANK(H$9:H12))</f>
        <v>TC_3</v>
      </c>
      <c r="B12" s="17"/>
      <c r="C12" s="9"/>
      <c r="D12" s="20" t="s">
        <v>84</v>
      </c>
      <c r="E12" s="9"/>
      <c r="F12" s="9"/>
      <c r="G12" s="12"/>
      <c r="H12" s="12" t="s">
        <v>61</v>
      </c>
      <c r="I12" s="9" t="s">
        <v>5</v>
      </c>
      <c r="J12" s="9"/>
      <c r="K12" s="10"/>
      <c r="L12" s="9"/>
      <c r="M12" s="9"/>
      <c r="N12" s="2"/>
      <c r="O12" s="1"/>
    </row>
    <row r="13" spans="1:15" ht="25.5" outlineLevel="1" x14ac:dyDescent="0.2">
      <c r="A13" s="13" t="str">
        <f>IF(H13="","","TC_"&amp;ROW()-7-COUNTBLANK(H$9:H13))</f>
        <v>TC_4</v>
      </c>
      <c r="B13" s="17"/>
      <c r="C13" s="9"/>
      <c r="D13" s="20" t="s">
        <v>83</v>
      </c>
      <c r="E13" s="9"/>
      <c r="F13" s="9"/>
      <c r="G13" s="12"/>
      <c r="H13" s="12" t="s">
        <v>61</v>
      </c>
      <c r="I13" s="9" t="s">
        <v>63</v>
      </c>
      <c r="J13" s="9"/>
      <c r="K13" s="10"/>
      <c r="L13" s="21" t="s">
        <v>82</v>
      </c>
      <c r="M13" s="9"/>
      <c r="N13" s="2"/>
      <c r="O13" s="1"/>
    </row>
    <row r="14" spans="1:15" ht="38.25" outlineLevel="1" x14ac:dyDescent="0.2">
      <c r="A14" s="13" t="str">
        <f>IF(H14="","","TC_"&amp;ROW()-7-COUNTBLANK(H$9:H14))</f>
        <v>TC_5</v>
      </c>
      <c r="B14" s="17"/>
      <c r="C14" s="9"/>
      <c r="D14" s="20" t="s">
        <v>81</v>
      </c>
      <c r="E14" s="9"/>
      <c r="F14" s="9"/>
      <c r="G14" s="12"/>
      <c r="H14" s="12" t="s">
        <v>61</v>
      </c>
      <c r="I14" s="9" t="s">
        <v>5</v>
      </c>
      <c r="J14" s="9"/>
      <c r="K14" s="10"/>
      <c r="L14" s="9"/>
      <c r="M14" s="9"/>
      <c r="N14" s="2"/>
      <c r="O14" s="1"/>
    </row>
    <row r="15" spans="1:15" ht="38.25" outlineLevel="1" x14ac:dyDescent="0.2">
      <c r="A15" s="13" t="str">
        <f>IF(H15="","","TC_"&amp;ROW()-7-COUNTBLANK(H$9:H15))</f>
        <v>TC_6</v>
      </c>
      <c r="B15" s="17"/>
      <c r="C15" s="9"/>
      <c r="D15" s="20" t="s">
        <v>80</v>
      </c>
      <c r="E15" s="9"/>
      <c r="F15" s="9"/>
      <c r="G15" s="12"/>
      <c r="H15" s="12" t="s">
        <v>61</v>
      </c>
      <c r="I15" s="9" t="s">
        <v>5</v>
      </c>
      <c r="J15" s="9"/>
      <c r="K15" s="10"/>
      <c r="L15" s="9"/>
      <c r="M15" s="9"/>
      <c r="N15" s="2"/>
      <c r="O15" s="1"/>
    </row>
    <row r="16" spans="1:15" ht="51" outlineLevel="1" x14ac:dyDescent="0.2">
      <c r="A16" s="13" t="str">
        <f>IF(H16="","","TC_"&amp;ROW()-7-COUNTBLANK(H$9:H16))</f>
        <v>TC_7</v>
      </c>
      <c r="B16" s="17"/>
      <c r="C16" s="9"/>
      <c r="D16" s="20" t="s">
        <v>79</v>
      </c>
      <c r="E16" s="9"/>
      <c r="F16" s="9"/>
      <c r="G16" s="12"/>
      <c r="H16" s="12" t="s">
        <v>61</v>
      </c>
      <c r="I16" s="9" t="s">
        <v>5</v>
      </c>
      <c r="J16" s="9"/>
      <c r="K16" s="10"/>
      <c r="L16" s="9"/>
      <c r="M16" s="9"/>
      <c r="N16" s="2"/>
      <c r="O16" s="1"/>
    </row>
    <row r="17" spans="1:15" ht="38.25" outlineLevel="1" x14ac:dyDescent="0.2">
      <c r="A17" s="13" t="str">
        <f>IF(H17="","","TC_"&amp;ROW()-7-COUNTBLANK(H$9:H17))</f>
        <v>TC_8</v>
      </c>
      <c r="B17" s="17"/>
      <c r="C17" s="9"/>
      <c r="D17" s="20" t="s">
        <v>78</v>
      </c>
      <c r="E17" s="9"/>
      <c r="F17" s="9"/>
      <c r="G17" s="12"/>
      <c r="H17" s="12" t="s">
        <v>61</v>
      </c>
      <c r="I17" s="9" t="s">
        <v>5</v>
      </c>
      <c r="J17" s="9"/>
      <c r="K17" s="10"/>
      <c r="L17" s="9"/>
      <c r="M17" s="9"/>
      <c r="N17" s="2"/>
      <c r="O17" s="1"/>
    </row>
    <row r="18" spans="1:15" ht="38.25" outlineLevel="1" x14ac:dyDescent="0.2">
      <c r="A18" s="13" t="str">
        <f>IF(H18="","","TC_"&amp;ROW()-7-COUNTBLANK(H$9:H18))</f>
        <v>TC_9</v>
      </c>
      <c r="B18" s="17"/>
      <c r="C18" s="9"/>
      <c r="D18" s="20" t="s">
        <v>77</v>
      </c>
      <c r="E18" s="9"/>
      <c r="F18" s="9"/>
      <c r="G18" s="12"/>
      <c r="H18" s="12" t="s">
        <v>61</v>
      </c>
      <c r="I18" s="9" t="s">
        <v>5</v>
      </c>
      <c r="J18" s="9"/>
      <c r="K18" s="10"/>
      <c r="L18" s="9"/>
      <c r="M18" s="9"/>
      <c r="N18" s="2"/>
      <c r="O18" s="1"/>
    </row>
    <row r="19" spans="1:15" ht="63.75" outlineLevel="1" x14ac:dyDescent="0.2">
      <c r="A19" s="13" t="str">
        <f>IF(H19="","","TC_"&amp;ROW()-7-COUNTBLANK(H$9:H19))</f>
        <v>TC_10</v>
      </c>
      <c r="B19" s="17"/>
      <c r="C19" s="9"/>
      <c r="D19" s="20" t="s">
        <v>62</v>
      </c>
      <c r="E19" s="9"/>
      <c r="F19" s="9"/>
      <c r="G19" s="12"/>
      <c r="H19" s="12" t="s">
        <v>61</v>
      </c>
      <c r="I19" s="9" t="s">
        <v>63</v>
      </c>
      <c r="J19" s="9"/>
      <c r="K19" s="10"/>
      <c r="L19" s="21" t="s">
        <v>69</v>
      </c>
      <c r="M19" s="9"/>
      <c r="N19" s="2"/>
      <c r="O19" s="1"/>
    </row>
    <row r="20" spans="1:15" ht="12.75" outlineLevel="1" x14ac:dyDescent="0.2">
      <c r="A20" s="19" t="s">
        <v>76</v>
      </c>
      <c r="B20" s="1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"/>
      <c r="O20" s="1"/>
    </row>
    <row r="21" spans="1:15" ht="25.5" outlineLevel="1" x14ac:dyDescent="0.2">
      <c r="A21" s="13" t="str">
        <f>IF(H21="","","TC_"&amp;ROW()-7-COUNTBLANK(H$9:H21))</f>
        <v>TC_11</v>
      </c>
      <c r="B21" s="17"/>
      <c r="C21" s="9"/>
      <c r="D21" s="20" t="s">
        <v>75</v>
      </c>
      <c r="E21" s="9"/>
      <c r="F21" s="9"/>
      <c r="G21" s="12"/>
      <c r="H21" s="12" t="s">
        <v>61</v>
      </c>
      <c r="I21" s="9" t="s">
        <v>5</v>
      </c>
      <c r="J21" s="9"/>
      <c r="K21" s="10"/>
      <c r="L21" s="9"/>
      <c r="M21" s="9"/>
      <c r="N21" s="2"/>
      <c r="O21" s="1"/>
    </row>
    <row r="22" spans="1:15" ht="38.25" outlineLevel="1" x14ac:dyDescent="0.2">
      <c r="A22" s="13" t="str">
        <f>IF(H22="","","TC_"&amp;ROW()-7-COUNTBLANK(H$9:H22))</f>
        <v>TC_12</v>
      </c>
      <c r="B22" s="17"/>
      <c r="C22" s="9"/>
      <c r="D22" s="20" t="s">
        <v>74</v>
      </c>
      <c r="E22" s="9"/>
      <c r="F22" s="9"/>
      <c r="G22" s="12"/>
      <c r="H22" s="12" t="s">
        <v>61</v>
      </c>
      <c r="I22" s="9" t="s">
        <v>63</v>
      </c>
      <c r="J22" s="9"/>
      <c r="K22" s="10"/>
      <c r="L22" s="21" t="s">
        <v>71</v>
      </c>
      <c r="M22" s="9"/>
      <c r="N22" s="2"/>
      <c r="O22" s="1"/>
    </row>
    <row r="23" spans="1:15" ht="25.5" outlineLevel="1" x14ac:dyDescent="0.2">
      <c r="A23" s="13" t="str">
        <f>IF(H23="","","TC_"&amp;ROW()-7-COUNTBLANK(H$9:H23))</f>
        <v>TC_13</v>
      </c>
      <c r="B23" s="17"/>
      <c r="C23" s="9"/>
      <c r="D23" s="20" t="s">
        <v>73</v>
      </c>
      <c r="E23" s="9"/>
      <c r="F23" s="9"/>
      <c r="G23" s="12"/>
      <c r="H23" s="12" t="s">
        <v>61</v>
      </c>
      <c r="I23" s="9" t="s">
        <v>5</v>
      </c>
      <c r="J23" s="9"/>
      <c r="K23" s="10"/>
      <c r="L23" s="9"/>
      <c r="M23" s="9"/>
      <c r="N23" s="2"/>
      <c r="O23" s="1"/>
    </row>
    <row r="24" spans="1:15" ht="38.25" outlineLevel="1" x14ac:dyDescent="0.2">
      <c r="A24" s="13" t="str">
        <f>IF(H24="","","TC_"&amp;ROW()-7-COUNTBLANK(H$9:H24))</f>
        <v>TC_14</v>
      </c>
      <c r="B24" s="17"/>
      <c r="C24" s="9"/>
      <c r="D24" s="20" t="s">
        <v>72</v>
      </c>
      <c r="E24" s="9"/>
      <c r="F24" s="9"/>
      <c r="G24" s="12"/>
      <c r="H24" s="12" t="s">
        <v>61</v>
      </c>
      <c r="I24" s="9" t="s">
        <v>63</v>
      </c>
      <c r="J24" s="9"/>
      <c r="K24" s="10"/>
      <c r="L24" s="21" t="s">
        <v>71</v>
      </c>
      <c r="M24" s="9"/>
      <c r="N24" s="2"/>
      <c r="O24" s="1"/>
    </row>
    <row r="25" spans="1:15" ht="38.25" outlineLevel="1" x14ac:dyDescent="0.2">
      <c r="A25" s="13" t="str">
        <f>IF(H25="","","TC_"&amp;ROW()-7-COUNTBLANK(H$9:H25))</f>
        <v>TC_15</v>
      </c>
      <c r="B25" s="17"/>
      <c r="C25" s="9"/>
      <c r="D25" s="20" t="s">
        <v>70</v>
      </c>
      <c r="E25" s="9"/>
      <c r="F25" s="9"/>
      <c r="G25" s="12"/>
      <c r="H25" s="12" t="s">
        <v>61</v>
      </c>
      <c r="I25" s="9" t="s">
        <v>5</v>
      </c>
      <c r="J25" s="9"/>
      <c r="K25" s="10"/>
      <c r="L25" s="9"/>
      <c r="M25" s="9"/>
      <c r="N25" s="2"/>
      <c r="O25" s="1"/>
    </row>
    <row r="26" spans="1:15" ht="63.75" outlineLevel="1" x14ac:dyDescent="0.2">
      <c r="A26" s="13" t="str">
        <f>IF(H26="","","TC_"&amp;ROW()-7-COUNTBLANK(H$9:H26))</f>
        <v>TC_16</v>
      </c>
      <c r="B26" s="17"/>
      <c r="C26" s="9"/>
      <c r="D26" s="20" t="s">
        <v>62</v>
      </c>
      <c r="E26" s="9"/>
      <c r="F26" s="9"/>
      <c r="G26" s="12"/>
      <c r="H26" s="12" t="s">
        <v>61</v>
      </c>
      <c r="I26" s="9" t="s">
        <v>63</v>
      </c>
      <c r="J26" s="9"/>
      <c r="K26" s="10"/>
      <c r="L26" s="21" t="s">
        <v>69</v>
      </c>
      <c r="M26" s="9"/>
      <c r="N26" s="2"/>
      <c r="O26" s="1"/>
    </row>
    <row r="27" spans="1:15" ht="12.75" outlineLevel="1" x14ac:dyDescent="0.2">
      <c r="A27" s="19" t="s">
        <v>68</v>
      </c>
      <c r="B27" s="19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2"/>
      <c r="O27" s="1"/>
    </row>
    <row r="28" spans="1:15" ht="12.75" outlineLevel="1" x14ac:dyDescent="0.2">
      <c r="A28" s="13" t="str">
        <f>IF(H28="","","TC_"&amp;ROW()-7-COUNTBLANK(H$9:H28))</f>
        <v>TC_17</v>
      </c>
      <c r="B28" s="17"/>
      <c r="C28" s="9"/>
      <c r="D28" s="20" t="s">
        <v>67</v>
      </c>
      <c r="E28" s="9"/>
      <c r="F28" s="9"/>
      <c r="G28" s="12"/>
      <c r="H28" s="12" t="s">
        <v>61</v>
      </c>
      <c r="I28" s="9" t="s">
        <v>5</v>
      </c>
      <c r="J28" s="9"/>
      <c r="K28" s="10"/>
      <c r="L28" s="9"/>
      <c r="M28" s="9"/>
      <c r="N28" s="2"/>
      <c r="O28" s="1"/>
    </row>
    <row r="29" spans="1:15" ht="38.25" outlineLevel="1" x14ac:dyDescent="0.2">
      <c r="A29" s="13" t="str">
        <f>IF(H29="","","TC_"&amp;ROW()-7-COUNTBLANK(H$9:H29))</f>
        <v>TC_18</v>
      </c>
      <c r="B29" s="17"/>
      <c r="C29" s="9"/>
      <c r="D29" s="20" t="s">
        <v>66</v>
      </c>
      <c r="E29" s="9"/>
      <c r="F29" s="9"/>
      <c r="G29" s="12"/>
      <c r="H29" s="12" t="s">
        <v>61</v>
      </c>
      <c r="I29" s="9" t="s">
        <v>5</v>
      </c>
      <c r="J29" s="9"/>
      <c r="K29" s="10"/>
      <c r="L29" s="9"/>
      <c r="M29" s="9"/>
      <c r="N29" s="2"/>
      <c r="O29" s="1"/>
    </row>
    <row r="30" spans="1:15" ht="38.25" outlineLevel="1" x14ac:dyDescent="0.2">
      <c r="A30" s="13" t="str">
        <f>IF(H30="","","TC_"&amp;ROW()-7-COUNTBLANK(H$9:H30))</f>
        <v>TC_19</v>
      </c>
      <c r="B30" s="17"/>
      <c r="C30" s="9"/>
      <c r="D30" s="20" t="s">
        <v>65</v>
      </c>
      <c r="E30" s="9"/>
      <c r="F30" s="9"/>
      <c r="G30" s="12"/>
      <c r="H30" s="12" t="s">
        <v>64</v>
      </c>
      <c r="I30" s="9" t="s">
        <v>63</v>
      </c>
      <c r="J30" s="9"/>
      <c r="K30" s="10"/>
      <c r="L30" s="9"/>
      <c r="M30" s="9"/>
      <c r="N30" s="2"/>
      <c r="O30" s="1"/>
    </row>
    <row r="31" spans="1:15" ht="63.75" outlineLevel="1" x14ac:dyDescent="0.2">
      <c r="A31" s="13" t="str">
        <f>IF(H31="","","TC_"&amp;ROW()-7-COUNTBLANK(H$9:H31))</f>
        <v>TC_20</v>
      </c>
      <c r="B31" s="17"/>
      <c r="C31" s="9"/>
      <c r="D31" s="20" t="s">
        <v>62</v>
      </c>
      <c r="E31" s="9"/>
      <c r="F31" s="9"/>
      <c r="G31" s="12"/>
      <c r="H31" s="12" t="s">
        <v>61</v>
      </c>
      <c r="I31" s="9" t="s">
        <v>5</v>
      </c>
      <c r="J31" s="9"/>
      <c r="K31" s="10"/>
      <c r="L31" s="9"/>
      <c r="M31" s="9"/>
      <c r="N31" s="2"/>
      <c r="O31" s="1"/>
    </row>
    <row r="32" spans="1:15" ht="12.75" outlineLevel="1" x14ac:dyDescent="0.2">
      <c r="A32" s="19" t="s">
        <v>60</v>
      </c>
      <c r="B32" s="1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2"/>
      <c r="O32" s="1"/>
    </row>
    <row r="33" spans="1:15" ht="38.25" outlineLevel="1" x14ac:dyDescent="0.2">
      <c r="A33" s="13" t="str">
        <f>IF(H33="","","TC_"&amp;ROW()-7-COUNTBLANK(H$9:H33))</f>
        <v>TC_21</v>
      </c>
      <c r="B33" s="17"/>
      <c r="C33" s="9"/>
      <c r="D33" s="9" t="s">
        <v>55</v>
      </c>
      <c r="E33" s="9"/>
      <c r="F33" s="9"/>
      <c r="G33" s="12"/>
      <c r="H33" s="12" t="s">
        <v>59</v>
      </c>
      <c r="I33" s="9"/>
      <c r="J33" s="9"/>
      <c r="K33" s="10"/>
      <c r="L33" s="9"/>
      <c r="M33" s="9"/>
      <c r="N33" s="2"/>
      <c r="O33" s="1"/>
    </row>
    <row r="34" spans="1:15" ht="12.75" outlineLevel="1" x14ac:dyDescent="0.2">
      <c r="A34" s="19" t="s">
        <v>58</v>
      </c>
      <c r="B34" s="19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"/>
      <c r="O34" s="1"/>
    </row>
    <row r="35" spans="1:15" ht="38.25" outlineLevel="1" x14ac:dyDescent="0.2">
      <c r="A35" s="13" t="str">
        <f>IF(H35="","","TC_"&amp;ROW()-7-COUNTBLANK(H$9:H35))</f>
        <v>TC_22</v>
      </c>
      <c r="B35" s="17"/>
      <c r="C35" s="9"/>
      <c r="D35" s="9" t="s">
        <v>55</v>
      </c>
      <c r="E35" s="9"/>
      <c r="F35" s="9"/>
      <c r="G35" s="12"/>
      <c r="H35" s="12" t="s">
        <v>54</v>
      </c>
      <c r="I35" s="9" t="s">
        <v>5</v>
      </c>
      <c r="J35" s="9"/>
      <c r="K35" s="10"/>
      <c r="L35" s="9"/>
      <c r="M35" s="9"/>
      <c r="N35" s="2"/>
      <c r="O35" s="1"/>
    </row>
    <row r="36" spans="1:15" ht="12.75" outlineLevel="1" x14ac:dyDescent="0.2">
      <c r="A36" s="19" t="s">
        <v>57</v>
      </c>
      <c r="B36" s="1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"/>
      <c r="O36" s="1"/>
    </row>
    <row r="37" spans="1:15" ht="38.25" outlineLevel="1" x14ac:dyDescent="0.2">
      <c r="A37" s="13" t="str">
        <f>IF(H37="","","TC_"&amp;ROW()-7-COUNTBLANK(H$9:H37))</f>
        <v>TC_23</v>
      </c>
      <c r="B37" s="17"/>
      <c r="C37" s="9"/>
      <c r="D37" s="9" t="s">
        <v>55</v>
      </c>
      <c r="E37" s="9"/>
      <c r="F37" s="9"/>
      <c r="G37" s="12"/>
      <c r="H37" s="12" t="s">
        <v>54</v>
      </c>
      <c r="I37" s="9" t="s">
        <v>5</v>
      </c>
      <c r="J37" s="9"/>
      <c r="K37" s="10"/>
      <c r="L37" s="9"/>
      <c r="M37" s="9"/>
      <c r="N37" s="2"/>
      <c r="O37" s="1"/>
    </row>
    <row r="38" spans="1:15" ht="12.75" outlineLevel="1" x14ac:dyDescent="0.2">
      <c r="A38" s="19" t="s">
        <v>56</v>
      </c>
      <c r="B38" s="1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2"/>
      <c r="O38" s="1"/>
    </row>
    <row r="39" spans="1:15" ht="38.25" outlineLevel="1" x14ac:dyDescent="0.2">
      <c r="A39" s="13" t="str">
        <f>IF(H39="","","TC_"&amp;ROW()-7-COUNTBLANK(H$9:H39))</f>
        <v>TC_24</v>
      </c>
      <c r="B39" s="17"/>
      <c r="C39" s="9"/>
      <c r="D39" s="9" t="s">
        <v>55</v>
      </c>
      <c r="E39" s="9"/>
      <c r="F39" s="9"/>
      <c r="G39" s="12"/>
      <c r="H39" s="12" t="s">
        <v>54</v>
      </c>
      <c r="I39" s="9" t="s">
        <v>5</v>
      </c>
      <c r="J39" s="9"/>
      <c r="K39" s="10"/>
      <c r="L39" s="9"/>
      <c r="M39" s="9"/>
      <c r="N39" s="2"/>
      <c r="O39" s="1"/>
    </row>
    <row r="40" spans="1:15" ht="12.75" x14ac:dyDescent="0.2">
      <c r="A40" s="35" t="s">
        <v>53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7"/>
      <c r="N40" s="2"/>
      <c r="O40" s="1"/>
    </row>
    <row r="41" spans="1:15" ht="102" outlineLevel="1" x14ac:dyDescent="0.2">
      <c r="A41" s="13" t="str">
        <f>IF(H41="","","TC_"&amp;ROW()-7-COUNTBLANK(H$9:H41))</f>
        <v>TC_25</v>
      </c>
      <c r="B41" s="15"/>
      <c r="C41" s="9"/>
      <c r="D41" s="43" t="s">
        <v>52</v>
      </c>
      <c r="E41" s="9" t="s">
        <v>51</v>
      </c>
      <c r="F41" s="9"/>
      <c r="G41" s="12"/>
      <c r="H41" s="12" t="s">
        <v>50</v>
      </c>
      <c r="I41" s="9"/>
      <c r="J41" s="9"/>
      <c r="K41" s="10"/>
      <c r="L41" s="9"/>
      <c r="M41" s="9"/>
      <c r="N41" s="2"/>
      <c r="O41" s="1"/>
    </row>
    <row r="42" spans="1:15" ht="12.75" outlineLevel="1" x14ac:dyDescent="0.2">
      <c r="A42" s="13" t="str">
        <f>IF(H42="","","TC_"&amp;ROW()-7-COUNTBLANK(H$9:H42))</f>
        <v>TC_26</v>
      </c>
      <c r="B42" s="15"/>
      <c r="C42" s="9"/>
      <c r="D42" s="44"/>
      <c r="E42" s="9" t="s">
        <v>49</v>
      </c>
      <c r="F42" s="9"/>
      <c r="G42" s="12"/>
      <c r="H42" s="12" t="s">
        <v>47</v>
      </c>
      <c r="I42" s="9"/>
      <c r="J42" s="9"/>
      <c r="K42" s="10"/>
      <c r="L42" s="9"/>
      <c r="M42" s="9"/>
      <c r="N42" s="2"/>
      <c r="O42" s="1"/>
    </row>
    <row r="43" spans="1:15" ht="12.75" outlineLevel="1" x14ac:dyDescent="0.2">
      <c r="A43" s="13" t="str">
        <f>IF(H43="","","TC_"&amp;ROW()-7-COUNTBLANK(H$9:H43))</f>
        <v>TC_27</v>
      </c>
      <c r="B43" s="15"/>
      <c r="C43" s="9"/>
      <c r="D43" s="39"/>
      <c r="E43" s="9" t="s">
        <v>48</v>
      </c>
      <c r="F43" s="9"/>
      <c r="G43" s="12"/>
      <c r="H43" s="12" t="s">
        <v>47</v>
      </c>
      <c r="I43" s="9"/>
      <c r="J43" s="9"/>
      <c r="K43" s="10"/>
      <c r="L43" s="9"/>
      <c r="M43" s="9"/>
      <c r="N43" s="2"/>
      <c r="O43" s="1"/>
    </row>
    <row r="44" spans="1:15" ht="25.5" outlineLevel="1" x14ac:dyDescent="0.2">
      <c r="A44" s="13" t="str">
        <f>IF(H44="","","TC_"&amp;ROW()-7-COUNTBLANK(H$9:H44))</f>
        <v>TC_28</v>
      </c>
      <c r="B44" s="15"/>
      <c r="C44" s="9"/>
      <c r="D44" s="43" t="s">
        <v>46</v>
      </c>
      <c r="E44" s="16" t="s">
        <v>45</v>
      </c>
      <c r="F44" s="9"/>
      <c r="G44" s="12"/>
      <c r="H44" s="12" t="s">
        <v>42</v>
      </c>
      <c r="I44" s="9"/>
      <c r="J44" s="9"/>
      <c r="K44" s="10"/>
      <c r="L44" s="9"/>
      <c r="M44" s="9"/>
      <c r="N44" s="2"/>
      <c r="O44" s="1"/>
    </row>
    <row r="45" spans="1:15" ht="25.5" outlineLevel="1" x14ac:dyDescent="0.2">
      <c r="A45" s="13" t="str">
        <f>IF(H45="","","TC_"&amp;ROW()-7-COUNTBLANK(H$9:H45))</f>
        <v>TC_29</v>
      </c>
      <c r="B45" s="15"/>
      <c r="C45" s="9"/>
      <c r="D45" s="44"/>
      <c r="E45" s="9" t="s">
        <v>44</v>
      </c>
      <c r="F45" s="9"/>
      <c r="G45" s="12"/>
      <c r="H45" s="12" t="s">
        <v>42</v>
      </c>
      <c r="I45" s="9"/>
      <c r="J45" s="9"/>
      <c r="K45" s="10"/>
      <c r="L45" s="9"/>
      <c r="M45" s="9"/>
      <c r="N45" s="2"/>
      <c r="O45" s="1"/>
    </row>
    <row r="46" spans="1:15" ht="25.5" outlineLevel="1" x14ac:dyDescent="0.2">
      <c r="A46" s="13" t="str">
        <f>IF(H46="","","TC_"&amp;ROW()-7-COUNTBLANK(H$9:H46))</f>
        <v>TC_30</v>
      </c>
      <c r="B46" s="15"/>
      <c r="C46" s="9"/>
      <c r="D46" s="39"/>
      <c r="E46" s="9" t="s">
        <v>43</v>
      </c>
      <c r="F46" s="9"/>
      <c r="G46" s="12"/>
      <c r="H46" s="12" t="s">
        <v>42</v>
      </c>
      <c r="I46" s="9"/>
      <c r="J46" s="9"/>
      <c r="K46" s="10"/>
      <c r="L46" s="9"/>
      <c r="M46" s="9"/>
      <c r="N46" s="2"/>
      <c r="O46" s="1"/>
    </row>
    <row r="47" spans="1:15" ht="12.75" x14ac:dyDescent="0.2">
      <c r="A47" s="35" t="s">
        <v>41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7"/>
      <c r="N47" s="2"/>
      <c r="O47" s="1"/>
    </row>
    <row r="48" spans="1:15" ht="38.25" outlineLevel="1" x14ac:dyDescent="0.2">
      <c r="A48" s="13" t="str">
        <f>IF(H48="","","TC_"&amp;ROW()-7-COUNTBLANK(H$9:H48))</f>
        <v>TC_31</v>
      </c>
      <c r="B48" s="15"/>
      <c r="C48" s="9"/>
      <c r="D48" s="9" t="s">
        <v>40</v>
      </c>
      <c r="E48" s="9"/>
      <c r="F48" s="9"/>
      <c r="G48" s="12"/>
      <c r="H48" s="12" t="s">
        <v>31</v>
      </c>
      <c r="I48" s="9"/>
      <c r="J48" s="9"/>
      <c r="K48" s="10"/>
      <c r="L48" s="9"/>
      <c r="M48" s="9"/>
      <c r="N48" s="2"/>
      <c r="O48" s="1"/>
    </row>
    <row r="49" spans="1:15" ht="51" outlineLevel="1" x14ac:dyDescent="0.2">
      <c r="A49" s="13" t="str">
        <f>IF(H49="","","TC_"&amp;ROW()-7-COUNTBLANK(H$9:H49))</f>
        <v>TC_32</v>
      </c>
      <c r="B49" s="15"/>
      <c r="C49" s="9"/>
      <c r="D49" s="9" t="s">
        <v>39</v>
      </c>
      <c r="E49" s="9"/>
      <c r="F49" s="9"/>
      <c r="G49" s="12"/>
      <c r="H49" s="12" t="s">
        <v>38</v>
      </c>
      <c r="I49" s="9"/>
      <c r="J49" s="9"/>
      <c r="K49" s="10"/>
      <c r="L49" s="9"/>
      <c r="M49" s="9"/>
      <c r="N49" s="2"/>
      <c r="O49" s="1"/>
    </row>
    <row r="50" spans="1:15" ht="38.25" outlineLevel="1" x14ac:dyDescent="0.2">
      <c r="A50" s="13" t="str">
        <f>IF(H50="","","TC_"&amp;ROW()-7-COUNTBLANK(H$9:H50))</f>
        <v>TC_33</v>
      </c>
      <c r="B50" s="15"/>
      <c r="C50" s="9"/>
      <c r="D50" s="9" t="s">
        <v>37</v>
      </c>
      <c r="E50" s="9"/>
      <c r="F50" s="9"/>
      <c r="G50" s="12"/>
      <c r="H50" s="12" t="s">
        <v>33</v>
      </c>
      <c r="I50" s="9"/>
      <c r="J50" s="9"/>
      <c r="K50" s="10"/>
      <c r="L50" s="9"/>
      <c r="M50" s="9"/>
      <c r="N50" s="2"/>
      <c r="O50" s="1"/>
    </row>
    <row r="51" spans="1:15" ht="51" outlineLevel="1" x14ac:dyDescent="0.2">
      <c r="A51" s="13" t="str">
        <f>IF(H51="","","TC_"&amp;ROW()-7-COUNTBLANK(H$9:H51))</f>
        <v>TC_34</v>
      </c>
      <c r="B51" s="15"/>
      <c r="C51" s="9"/>
      <c r="D51" s="9" t="s">
        <v>36</v>
      </c>
      <c r="E51" s="9"/>
      <c r="F51" s="9"/>
      <c r="G51" s="12"/>
      <c r="H51" s="12" t="s">
        <v>35</v>
      </c>
      <c r="I51" s="9"/>
      <c r="J51" s="9"/>
      <c r="K51" s="10"/>
      <c r="L51" s="9"/>
      <c r="M51" s="9"/>
      <c r="N51" s="2"/>
      <c r="O51" s="1"/>
    </row>
    <row r="52" spans="1:15" ht="38.25" outlineLevel="1" x14ac:dyDescent="0.2">
      <c r="A52" s="13" t="str">
        <f>IF(H52="","","TC_"&amp;ROW()-7-COUNTBLANK(H$9:H52))</f>
        <v>TC_35</v>
      </c>
      <c r="B52" s="15"/>
      <c r="C52" s="9"/>
      <c r="D52" s="9" t="s">
        <v>34</v>
      </c>
      <c r="E52" s="9"/>
      <c r="F52" s="9"/>
      <c r="G52" s="12"/>
      <c r="H52" s="12" t="s">
        <v>33</v>
      </c>
      <c r="I52" s="9"/>
      <c r="J52" s="9"/>
      <c r="K52" s="10"/>
      <c r="L52" s="9"/>
      <c r="M52" s="9"/>
      <c r="N52" s="2"/>
      <c r="O52" s="1"/>
    </row>
    <row r="53" spans="1:15" ht="38.25" outlineLevel="1" x14ac:dyDescent="0.2">
      <c r="A53" s="13" t="str">
        <f>IF(H53="","","TC_"&amp;ROW()-7-COUNTBLANK(H$9:H53))</f>
        <v>TC_36</v>
      </c>
      <c r="B53" s="15"/>
      <c r="C53" s="9"/>
      <c r="D53" s="9" t="s">
        <v>32</v>
      </c>
      <c r="E53" s="9"/>
      <c r="F53" s="9"/>
      <c r="G53" s="12"/>
      <c r="H53" s="12" t="s">
        <v>31</v>
      </c>
      <c r="I53" s="9"/>
      <c r="J53" s="9"/>
      <c r="K53" s="10"/>
      <c r="L53" s="9"/>
      <c r="M53" s="9"/>
      <c r="N53" s="2"/>
      <c r="O53" s="1"/>
    </row>
    <row r="54" spans="1:15" ht="63.75" outlineLevel="1" x14ac:dyDescent="0.2">
      <c r="A54" s="13" t="str">
        <f>IF(H54="","","TC_"&amp;ROW()-7-COUNTBLANK(H$9:H54))</f>
        <v>TC_37</v>
      </c>
      <c r="B54" s="15"/>
      <c r="C54" s="9"/>
      <c r="D54" s="9" t="s">
        <v>30</v>
      </c>
      <c r="E54" s="9"/>
      <c r="F54" s="9"/>
      <c r="G54" s="12"/>
      <c r="H54" s="12" t="s">
        <v>29</v>
      </c>
      <c r="I54" s="9"/>
      <c r="J54" s="9"/>
      <c r="K54" s="10"/>
      <c r="L54" s="9"/>
      <c r="M54" s="9"/>
      <c r="N54" s="2"/>
      <c r="O54" s="1"/>
    </row>
    <row r="55" spans="1:15" ht="12.75" x14ac:dyDescent="0.2">
      <c r="A55" s="35" t="s">
        <v>28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2"/>
      <c r="O55" s="1"/>
    </row>
    <row r="56" spans="1:15" ht="38.25" outlineLevel="1" x14ac:dyDescent="0.2">
      <c r="A56" s="13" t="str">
        <f>IF(H56="","","TC_"&amp;ROW()-7-COUNTBLANK(H$9:H56))</f>
        <v>TC_38</v>
      </c>
      <c r="B56" s="15"/>
      <c r="C56" s="9"/>
      <c r="D56" s="9" t="s">
        <v>27</v>
      </c>
      <c r="E56" s="9"/>
      <c r="F56" s="9"/>
      <c r="G56" s="12"/>
      <c r="H56" s="12" t="s">
        <v>26</v>
      </c>
      <c r="I56" s="9"/>
      <c r="J56" s="9"/>
      <c r="K56" s="10"/>
      <c r="L56" s="9"/>
      <c r="M56" s="9"/>
      <c r="N56" s="2"/>
      <c r="O56" s="1"/>
    </row>
    <row r="57" spans="1:15" ht="89.25" outlineLevel="1" x14ac:dyDescent="0.2">
      <c r="A57" s="13" t="str">
        <f>IF(H57="","","TC_"&amp;ROW()-7-COUNTBLANK(H$9:H57))</f>
        <v>TC_39</v>
      </c>
      <c r="B57" s="15"/>
      <c r="C57" s="9"/>
      <c r="D57" s="9" t="s">
        <v>25</v>
      </c>
      <c r="E57" s="9"/>
      <c r="F57" s="9"/>
      <c r="G57" s="12"/>
      <c r="H57" s="12" t="s">
        <v>24</v>
      </c>
      <c r="I57" s="9"/>
      <c r="J57" s="9"/>
      <c r="K57" s="10"/>
      <c r="L57" s="9"/>
      <c r="M57" s="9"/>
      <c r="N57" s="2"/>
      <c r="O57" s="1"/>
    </row>
    <row r="58" spans="1:15" ht="25.5" outlineLevel="1" x14ac:dyDescent="0.2">
      <c r="A58" s="13" t="str">
        <f>IF(H58="","","TC_"&amp;ROW()-7-COUNTBLANK(H$9:H58))</f>
        <v>TC_40</v>
      </c>
      <c r="B58" s="15"/>
      <c r="C58" s="9"/>
      <c r="D58" s="9" t="s">
        <v>23</v>
      </c>
      <c r="E58" s="9"/>
      <c r="F58" s="9"/>
      <c r="G58" s="12"/>
      <c r="H58" s="12" t="s">
        <v>19</v>
      </c>
      <c r="I58" s="9"/>
      <c r="J58" s="9"/>
      <c r="K58" s="10"/>
      <c r="L58" s="9"/>
      <c r="M58" s="9"/>
      <c r="N58" s="2"/>
      <c r="O58" s="1"/>
    </row>
    <row r="59" spans="1:15" ht="25.5" outlineLevel="1" x14ac:dyDescent="0.2">
      <c r="A59" s="13" t="str">
        <f>IF(H59="","","TC_"&amp;ROW()-7-COUNTBLANK(H$9:H59))</f>
        <v>TC_41</v>
      </c>
      <c r="B59" s="15"/>
      <c r="C59" s="9"/>
      <c r="D59" s="9" t="s">
        <v>22</v>
      </c>
      <c r="E59" s="9"/>
      <c r="F59" s="9"/>
      <c r="G59" s="12"/>
      <c r="H59" s="12" t="s">
        <v>21</v>
      </c>
      <c r="I59" s="9"/>
      <c r="J59" s="9"/>
      <c r="K59" s="10"/>
      <c r="L59" s="9"/>
      <c r="M59" s="9"/>
      <c r="N59" s="2"/>
      <c r="O59" s="1"/>
    </row>
    <row r="60" spans="1:15" ht="38.25" outlineLevel="1" x14ac:dyDescent="0.2">
      <c r="A60" s="13" t="str">
        <f>IF(H60="","","TC_"&amp;ROW()-7-COUNTBLANK(H$9:H60))</f>
        <v>TC_42</v>
      </c>
      <c r="B60" s="15"/>
      <c r="C60" s="9"/>
      <c r="D60" s="9" t="s">
        <v>20</v>
      </c>
      <c r="E60" s="9"/>
      <c r="F60" s="9"/>
      <c r="G60" s="12"/>
      <c r="H60" s="12" t="s">
        <v>19</v>
      </c>
      <c r="I60" s="9"/>
      <c r="J60" s="9"/>
      <c r="K60" s="10"/>
      <c r="L60" s="9"/>
      <c r="M60" s="9"/>
      <c r="N60" s="2"/>
      <c r="O60" s="1"/>
    </row>
    <row r="61" spans="1:15" ht="12.75" x14ac:dyDescent="0.2">
      <c r="A61" s="35" t="s">
        <v>18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  <c r="N61" s="2"/>
      <c r="O61" s="1"/>
    </row>
    <row r="62" spans="1:15" ht="38.25" outlineLevel="1" x14ac:dyDescent="0.2">
      <c r="A62" s="13" t="str">
        <f>IF(H62="","","TC_"&amp;ROW()-8-COUNTBLANK(H62:H$84))</f>
        <v>TC_35</v>
      </c>
      <c r="B62" s="38"/>
      <c r="C62" s="9"/>
      <c r="D62" s="40" t="s">
        <v>17</v>
      </c>
      <c r="E62" s="9" t="s">
        <v>16</v>
      </c>
      <c r="F62" s="12"/>
      <c r="G62" s="12" t="s">
        <v>13</v>
      </c>
      <c r="H62" s="11" t="s">
        <v>15</v>
      </c>
      <c r="I62" s="9" t="s">
        <v>5</v>
      </c>
      <c r="J62" s="9"/>
      <c r="K62" s="10"/>
      <c r="L62" s="9"/>
      <c r="M62" s="9"/>
      <c r="N62" s="2"/>
      <c r="O62" s="1"/>
    </row>
    <row r="63" spans="1:15" ht="51" outlineLevel="1" x14ac:dyDescent="0.2">
      <c r="A63" s="13" t="str">
        <f>IF(H63="","","TC_"&amp;ROW()-8-COUNTBLANK(H63:H$84))</f>
        <v>TC_36</v>
      </c>
      <c r="B63" s="39"/>
      <c r="C63" s="9"/>
      <c r="D63" s="39"/>
      <c r="E63" s="9" t="s">
        <v>14</v>
      </c>
      <c r="F63" s="12"/>
      <c r="G63" s="12" t="s">
        <v>13</v>
      </c>
      <c r="H63" s="11" t="s">
        <v>12</v>
      </c>
      <c r="I63" s="9" t="s">
        <v>5</v>
      </c>
      <c r="J63" s="9"/>
      <c r="K63" s="10"/>
      <c r="L63" s="9"/>
      <c r="M63" s="9"/>
      <c r="N63" s="2"/>
      <c r="O63" s="1"/>
    </row>
    <row r="64" spans="1:15" ht="38.25" outlineLevel="1" x14ac:dyDescent="0.2">
      <c r="A64" s="13" t="str">
        <f>IF(H64="","","TC_"&amp;ROW()-8-COUNTBLANK(H64:H$84))</f>
        <v>TC_37</v>
      </c>
      <c r="B64" s="38"/>
      <c r="C64" s="9"/>
      <c r="D64" s="40" t="s">
        <v>11</v>
      </c>
      <c r="E64" s="9" t="s">
        <v>10</v>
      </c>
      <c r="F64" s="12"/>
      <c r="G64" s="12" t="s">
        <v>7</v>
      </c>
      <c r="H64" s="14" t="s">
        <v>9</v>
      </c>
      <c r="I64" s="9" t="s">
        <v>5</v>
      </c>
      <c r="J64" s="9"/>
      <c r="K64" s="10"/>
      <c r="L64" s="9"/>
      <c r="M64" s="9"/>
      <c r="N64" s="2"/>
      <c r="O64" s="1"/>
    </row>
    <row r="65" spans="1:15" ht="25.5" outlineLevel="1" x14ac:dyDescent="0.2">
      <c r="A65" s="13" t="str">
        <f>IF(H65="","","TC_"&amp;ROW()-8-COUNTBLANK(H65:H$84))</f>
        <v>TC_38</v>
      </c>
      <c r="B65" s="39"/>
      <c r="C65" s="9"/>
      <c r="D65" s="39"/>
      <c r="E65" s="9" t="s">
        <v>8</v>
      </c>
      <c r="F65" s="12"/>
      <c r="G65" s="12" t="s">
        <v>7</v>
      </c>
      <c r="H65" s="11" t="s">
        <v>6</v>
      </c>
      <c r="I65" s="9" t="s">
        <v>5</v>
      </c>
      <c r="J65" s="9"/>
      <c r="K65" s="10"/>
      <c r="L65" s="9"/>
      <c r="M65" s="9"/>
      <c r="N65" s="2"/>
      <c r="O65" s="1"/>
    </row>
    <row r="66" spans="1:15" ht="12.75" x14ac:dyDescent="0.2">
      <c r="A66" s="7"/>
      <c r="B66" s="6"/>
      <c r="C66" s="3"/>
      <c r="D66" s="3"/>
      <c r="E66" s="3"/>
      <c r="F66" s="3"/>
      <c r="G66" s="5"/>
      <c r="H66" s="5"/>
      <c r="I66" s="3"/>
      <c r="J66" s="3"/>
      <c r="K66" s="4"/>
      <c r="L66" s="3"/>
      <c r="M66" s="3"/>
      <c r="N66" s="2"/>
      <c r="O66" s="1"/>
    </row>
    <row r="67" spans="1:15" ht="12.75" x14ac:dyDescent="0.2">
      <c r="A67" s="7"/>
      <c r="B67" s="6"/>
      <c r="C67" s="3"/>
      <c r="D67" s="3"/>
      <c r="E67" s="3"/>
      <c r="F67" s="3"/>
      <c r="G67" s="5"/>
      <c r="H67" s="5"/>
      <c r="I67" s="3"/>
      <c r="J67" s="3"/>
      <c r="K67" s="4"/>
      <c r="L67" s="3"/>
      <c r="M67" s="3"/>
      <c r="N67" s="2"/>
      <c r="O67" s="1"/>
    </row>
    <row r="68" spans="1:15" ht="12.75" x14ac:dyDescent="0.2">
      <c r="A68" s="7" t="s">
        <v>4</v>
      </c>
      <c r="B68" s="6"/>
      <c r="C68" s="3"/>
      <c r="D68" s="3"/>
      <c r="E68" s="3"/>
      <c r="F68" s="3"/>
      <c r="G68" s="5"/>
      <c r="H68" s="5"/>
      <c r="I68" s="3"/>
      <c r="J68" s="3"/>
      <c r="K68" s="4"/>
      <c r="L68" s="3"/>
      <c r="M68" s="3"/>
      <c r="N68" s="2"/>
      <c r="O68" s="1"/>
    </row>
    <row r="69" spans="1:15" ht="12.75" x14ac:dyDescent="0.2">
      <c r="A69" s="7" t="s">
        <v>3</v>
      </c>
      <c r="B69" s="8" t="s">
        <v>2</v>
      </c>
      <c r="C69" s="3"/>
      <c r="D69" s="3"/>
      <c r="E69" s="3"/>
      <c r="F69" s="3"/>
      <c r="G69" s="5"/>
      <c r="H69" s="5"/>
      <c r="I69" s="3"/>
      <c r="J69" s="3"/>
      <c r="K69" s="4"/>
      <c r="L69" s="3"/>
      <c r="M69" s="3"/>
      <c r="N69" s="2"/>
      <c r="O69" s="1"/>
    </row>
    <row r="70" spans="1:15" ht="12.75" x14ac:dyDescent="0.2">
      <c r="A70" s="7" t="s">
        <v>1</v>
      </c>
      <c r="B70" s="8" t="s">
        <v>0</v>
      </c>
      <c r="C70" s="3"/>
      <c r="D70" s="3"/>
      <c r="E70" s="3"/>
      <c r="F70" s="3"/>
      <c r="G70" s="5"/>
      <c r="H70" s="5"/>
      <c r="I70" s="3"/>
      <c r="J70" s="3"/>
      <c r="K70" s="4"/>
      <c r="L70" s="3"/>
      <c r="M70" s="3"/>
      <c r="N70" s="2"/>
      <c r="O70" s="1"/>
    </row>
    <row r="71" spans="1:15" ht="12.75" x14ac:dyDescent="0.2">
      <c r="A71" s="7"/>
      <c r="B71" s="6"/>
      <c r="C71" s="3"/>
      <c r="D71" s="3"/>
      <c r="E71" s="3"/>
      <c r="F71" s="3"/>
      <c r="G71" s="5"/>
      <c r="H71" s="5"/>
      <c r="I71" s="3"/>
      <c r="J71" s="3"/>
      <c r="K71" s="4"/>
      <c r="L71" s="3"/>
      <c r="M71" s="3"/>
      <c r="N71" s="2"/>
      <c r="O71" s="1"/>
    </row>
  </sheetData>
  <mergeCells count="14">
    <mergeCell ref="D41:D43"/>
    <mergeCell ref="D44:D46"/>
    <mergeCell ref="A47:M47"/>
    <mergeCell ref="A1:E1"/>
    <mergeCell ref="A7:M7"/>
    <mergeCell ref="B8:B9"/>
    <mergeCell ref="A10:M10"/>
    <mergeCell ref="A40:M40"/>
    <mergeCell ref="A55:M55"/>
    <mergeCell ref="A61:M61"/>
    <mergeCell ref="B62:B63"/>
    <mergeCell ref="D62:D63"/>
    <mergeCell ref="B64:B65"/>
    <mergeCell ref="D64:D65"/>
  </mergeCells>
  <dataValidations count="1">
    <dataValidation type="list" allowBlank="1" showErrorMessage="1" sqref="I8:I9 I12:I19 I21:I26 I28:I31 I33 I35 I37 I39 I41:I46 I48:I54 I56:I60 I62:I71" xr:uid="{00000000-0002-0000-0700-000000000000}">
      <formula1>"Pass,Fail,Pending"</formula1>
    </dataValidation>
  </dataValidations>
  <hyperlinks>
    <hyperlink ref="G1" r:id="rId1" xr:uid="{1BA42BAD-7C12-45CF-BED6-A04A8A01D958}"/>
    <hyperlink ref="I1" r:id="rId2" xr:uid="{BB3A29FC-D01C-4B29-A9AE-346018DC760E}"/>
    <hyperlink ref="G3" r:id="rId3" xr:uid="{F95A8519-2EB2-4FC8-8298-BC19F1CCA963}"/>
    <hyperlink ref="L8" r:id="rId4" xr:uid="{8064BFE3-31F7-4087-AF14-25D214E1AF2B}"/>
    <hyperlink ref="L13" r:id="rId5" xr:uid="{075B964E-1E9E-4B42-8FDF-A56D863F2FE4}"/>
    <hyperlink ref="L19" r:id="rId6" xr:uid="{51EB0707-236D-41F0-846D-5F8F8F4AB268}"/>
    <hyperlink ref="L22" r:id="rId7" xr:uid="{2A5A83FC-653E-4D24-AD66-D1570903FB15}"/>
    <hyperlink ref="L24" r:id="rId8" xr:uid="{88F5DE3C-2D5F-4A5D-B784-1EF89B579003}"/>
    <hyperlink ref="L26" r:id="rId9" xr:uid="{BF280A53-0E23-4BCB-84F6-73B44C7E1FA0}"/>
    <hyperlink ref="H64" r:id="rId10" xr:uid="{FA4DC102-FF98-4478-A32E-F6ACAB951A5E}"/>
    <hyperlink ref="B69" r:id="rId11" xr:uid="{96F06C93-CA2A-471A-803D-28FC5BFC9013}"/>
    <hyperlink ref="B70" r:id="rId12" xr:uid="{D5E0B14F-9CBD-4EC0-9581-BC477B192071}"/>
  </hyperlinks>
  <pageMargins left="0.25" right="0.25" top="0.75" bottom="0.75" header="0.3" footer="0.3"/>
  <pageSetup paperSize="9" scale="48" fitToHeight="0" orientation="landscape" horizontalDpi="4294967293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Chatbot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VIỆT HƯNG</dc:creator>
  <cp:lastModifiedBy>Khanh Phan</cp:lastModifiedBy>
  <cp:lastPrinted>2026-07-17T05:35:10Z</cp:lastPrinted>
  <dcterms:created xsi:type="dcterms:W3CDTF">2026-07-15T08:18:22Z</dcterms:created>
  <dcterms:modified xsi:type="dcterms:W3CDTF">2026-07-17T05:35:33Z</dcterms:modified>
</cp:coreProperties>
</file>