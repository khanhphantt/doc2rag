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Perform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name val="Calibri"/>
      <b val="1"/>
      <color rgb="001B365D"/>
      <sz val="16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0F4F8"/>
        <bgColor rgb="00F0F4F8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23" customWidth="1" min="3" max="3"/>
    <col width="15" customWidth="1" min="4" max="4"/>
    <col width="15" customWidth="1" min="5" max="5"/>
    <col width="23" customWidth="1" min="6" max="6"/>
    <col width="15" customWidth="1" min="7" max="7"/>
    <col width="15" customWidth="1" min="8" max="8"/>
    <col width="14" customWidth="1" min="9" max="9"/>
  </cols>
  <sheetData>
    <row r="1" ht="30" customHeight="1">
      <c r="A1" s="1" t="inlineStr">
        <is>
          <t>Corporate Regional Sales &amp; Performance Report</t>
        </is>
      </c>
    </row>
    <row r="2"/>
    <row r="3" ht="24" customHeight="1">
      <c r="A3" s="2" t="inlineStr">
        <is>
          <t>Sales Region</t>
        </is>
      </c>
      <c r="C3" s="2" t="inlineStr">
        <is>
          <t>Q1 Financials (USD)</t>
        </is>
      </c>
      <c r="F3" s="2" t="inlineStr">
        <is>
          <t>Q2 Financials (USD)</t>
        </is>
      </c>
      <c r="I3" s="2" t="inlineStr">
        <is>
          <t>KPIs</t>
        </is>
      </c>
    </row>
    <row r="4" ht="20" customHeight="1">
      <c r="A4" s="3" t="inlineStr">
        <is>
          <t>Manager</t>
        </is>
      </c>
      <c r="B4" s="3" t="inlineStr">
        <is>
          <t>Territory</t>
        </is>
      </c>
      <c r="C4" s="3" t="inlineStr">
        <is>
          <t>Revenue</t>
        </is>
      </c>
      <c r="D4" s="3" t="inlineStr">
        <is>
          <t>COGS</t>
        </is>
      </c>
      <c r="E4" s="3" t="inlineStr">
        <is>
          <t>Margin</t>
        </is>
      </c>
      <c r="F4" s="3" t="inlineStr">
        <is>
          <t>Revenue</t>
        </is>
      </c>
      <c r="G4" s="3" t="inlineStr">
        <is>
          <t>COGS</t>
        </is>
      </c>
      <c r="H4" s="3" t="inlineStr">
        <is>
          <t>Margin</t>
        </is>
      </c>
      <c r="I4" s="3" t="inlineStr">
        <is>
          <t>Target Met</t>
        </is>
      </c>
    </row>
    <row r="5">
      <c r="A5" s="4" t="inlineStr">
        <is>
          <t>Jane Doe</t>
        </is>
      </c>
      <c r="B5" s="4" t="inlineStr">
        <is>
          <t>North America</t>
        </is>
      </c>
      <c r="C5" s="5" t="n">
        <v>150000</v>
      </c>
      <c r="D5" s="5" t="n">
        <v>90000</v>
      </c>
      <c r="E5" s="5">
        <f>C5-D5</f>
        <v/>
      </c>
      <c r="F5" s="5" t="n">
        <v>165000</v>
      </c>
      <c r="G5" s="5" t="n">
        <v>95000</v>
      </c>
      <c r="H5" s="5">
        <f>F5-G5</f>
        <v/>
      </c>
      <c r="I5" s="6" t="inlineStr">
        <is>
          <t>Yes</t>
        </is>
      </c>
    </row>
    <row r="6">
      <c r="A6" s="7" t="inlineStr">
        <is>
          <t>John Smith</t>
        </is>
      </c>
      <c r="B6" s="7" t="inlineStr">
        <is>
          <t>Europe</t>
        </is>
      </c>
      <c r="C6" s="8" t="n">
        <v>120000</v>
      </c>
      <c r="D6" s="8" t="n">
        <v>70000</v>
      </c>
      <c r="E6" s="8">
        <f>C6-D6</f>
        <v/>
      </c>
      <c r="F6" s="8" t="n">
        <v>115000</v>
      </c>
      <c r="G6" s="8" t="n">
        <v>68000</v>
      </c>
      <c r="H6" s="8">
        <f>F6-G6</f>
        <v/>
      </c>
      <c r="I6" s="9" t="inlineStr">
        <is>
          <t>No</t>
        </is>
      </c>
    </row>
    <row r="7">
      <c r="A7" s="4" t="inlineStr">
        <is>
          <t>Alice Johnson</t>
        </is>
      </c>
      <c r="B7" s="4" t="inlineStr">
        <is>
          <t>Asia-Pacific</t>
        </is>
      </c>
      <c r="C7" s="5" t="n">
        <v>180000</v>
      </c>
      <c r="D7" s="5" t="n">
        <v>105000</v>
      </c>
      <c r="E7" s="5">
        <f>C7-D7</f>
        <v/>
      </c>
      <c r="F7" s="5" t="n">
        <v>195000</v>
      </c>
      <c r="G7" s="5" t="n">
        <v>110000</v>
      </c>
      <c r="H7" s="5">
        <f>F7-G7</f>
        <v/>
      </c>
      <c r="I7" s="6" t="inlineStr">
        <is>
          <t>Yes</t>
        </is>
      </c>
    </row>
    <row r="8">
      <c r="A8" s="7" t="inlineStr">
        <is>
          <t>Bob Brown</t>
        </is>
      </c>
      <c r="B8" s="7" t="inlineStr">
        <is>
          <t>Latin America</t>
        </is>
      </c>
      <c r="C8" s="8" t="n">
        <v>90000</v>
      </c>
      <c r="D8" s="8" t="n">
        <v>55000</v>
      </c>
      <c r="E8" s="8">
        <f>C8-D8</f>
        <v/>
      </c>
      <c r="F8" s="8" t="n">
        <v>98000</v>
      </c>
      <c r="G8" s="8" t="n">
        <v>58000</v>
      </c>
      <c r="H8" s="8">
        <f>F8-G8</f>
        <v/>
      </c>
      <c r="I8" s="9" t="inlineStr">
        <is>
          <t>Yes</t>
        </is>
      </c>
    </row>
    <row r="9">
      <c r="A9" s="4" t="inlineStr">
        <is>
          <t>Elena Rostova</t>
        </is>
      </c>
      <c r="B9" s="4" t="inlineStr">
        <is>
          <t>Middle East</t>
        </is>
      </c>
      <c r="C9" s="5" t="n">
        <v>110000</v>
      </c>
      <c r="D9" s="5" t="n">
        <v>65000</v>
      </c>
      <c r="E9" s="5">
        <f>C9-D9</f>
        <v/>
      </c>
      <c r="F9" s="5" t="n">
        <v>125000</v>
      </c>
      <c r="G9" s="5" t="n">
        <v>72000</v>
      </c>
      <c r="H9" s="5">
        <f>F9-G9</f>
        <v/>
      </c>
      <c r="I9" s="6" t="inlineStr">
        <is>
          <t>Yes</t>
        </is>
      </c>
    </row>
    <row r="10">
      <c r="A10" s="10" t="inlineStr">
        <is>
          <t>Total / Average</t>
        </is>
      </c>
      <c r="B10" s="11" t="n"/>
      <c r="C10" s="12">
        <f>SUM(C5:C9)</f>
        <v/>
      </c>
      <c r="D10" s="12">
        <f>SUM(D5:D9)</f>
        <v/>
      </c>
      <c r="E10" s="12">
        <f>SUM(E5:E9)</f>
        <v/>
      </c>
      <c r="F10" s="12">
        <f>SUM(F5:F9)</f>
        <v/>
      </c>
      <c r="G10" s="12">
        <f>SUM(G5:G9)</f>
        <v/>
      </c>
      <c r="H10" s="12">
        <f>SUM(H5:H9)</f>
        <v/>
      </c>
      <c r="I10" s="11" t="n"/>
    </row>
  </sheetData>
  <mergeCells count="5">
    <mergeCell ref="I3"/>
    <mergeCell ref="A1:I1"/>
    <mergeCell ref="C3:E3"/>
    <mergeCell ref="F3:H3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2026-07-18T15:02:41Z</dcterms:created>
  <dcterms:modified xmlns:dcterms="http://purl.org/dc/terms/" xmlns:xsi="http://www.w3.org/2001/XMLSchema-instance" xsi:type="dcterms:W3CDTF">2026-07-18T15:02:41Z</dcterms:modified>
</cp:coreProperties>
</file>