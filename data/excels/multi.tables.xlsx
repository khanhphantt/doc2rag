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mkha\Downloads\"/>
    </mc:Choice>
  </mc:AlternateContent>
  <xr:revisionPtr revIDLastSave="0" documentId="8_{F74AC982-3097-4B08-9680-3BAE6008D79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Enterprise - LLM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2" l="1"/>
  <c r="E34" i="2"/>
  <c r="F33" i="2"/>
  <c r="E33" i="2"/>
  <c r="F32" i="2"/>
  <c r="E32" i="2"/>
  <c r="I18" i="2"/>
  <c r="J18" i="2" s="1"/>
  <c r="G18" i="2"/>
  <c r="I17" i="2"/>
  <c r="J17" i="2" s="1"/>
  <c r="G17" i="2"/>
  <c r="H18" i="2" s="1"/>
  <c r="I16" i="2"/>
  <c r="J16" i="2" s="1"/>
  <c r="H16" i="2"/>
  <c r="G16" i="2"/>
  <c r="J15" i="2"/>
  <c r="I15" i="2"/>
  <c r="G15" i="2"/>
  <c r="H15" i="2" s="1"/>
  <c r="I13" i="2"/>
  <c r="J13" i="2" s="1"/>
  <c r="G13" i="2"/>
  <c r="H13" i="2" s="1"/>
  <c r="G7" i="2"/>
  <c r="G6" i="2"/>
  <c r="I6" i="2" s="1"/>
  <c r="I7" i="2" l="1"/>
  <c r="H17" i="2"/>
  <c r="F6" i="2" s="1"/>
  <c r="F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tc={21b8f929-dc6c-4539-84f5-3e22fde7d9bf}</author>
  </authors>
  <commentList>
    <comment ref="G32" authorId="0" shapeId="0" xr:uid="{21B8F929-DC6C-4539-84F5-3E22FDE7D9BF}">
      <text>
        <t>[Threaded comment]
Your version of Excel allows you to read this threaded comment; however, any edits to it will get removed if the file is opened in a newer version of Excel. Learn more: https://go.microsoft.com/fwlink/?linkid=870924
Comment:
    avg_input_syllables: 50 syllables per input message.
avg_syllables_speed: 7.84 syllables per second (Japanese native speakers)</t>
      </text>
    </comment>
  </commentList>
</comments>
</file>

<file path=xl/sharedStrings.xml><?xml version="1.0" encoding="utf-8"?>
<sst xmlns="http://schemas.openxmlformats.org/spreadsheetml/2006/main" count="54" uniqueCount="49">
  <si>
    <t>Calculation Logic</t>
  </si>
  <si>
    <t>Model</t>
  </si>
  <si>
    <t>GPT COST</t>
  </si>
  <si>
    <t>Updated on 8 May 2026</t>
  </si>
  <si>
    <r>
      <rPr>
        <b/>
        <sz val="12"/>
        <rFont val="Arial"/>
      </rPr>
      <t xml:space="preserve">Source: </t>
    </r>
    <r>
      <rPr>
        <b/>
        <u/>
        <sz val="12"/>
        <color rgb="FF1155CC"/>
        <rFont val="Arial"/>
      </rPr>
      <t>https://docs.google.com/document/d/1FybSxB3lXJ5NOyA-EVsAm-Cz9Wpv0YydrmSn8SeefRo/edit?usp=sharing</t>
    </r>
  </si>
  <si>
    <t>Inc. Voice input (Google STT)</t>
  </si>
  <si>
    <t>#Messages</t>
  </si>
  <si>
    <t>⇒</t>
  </si>
  <si>
    <t>RATE (3 responses, in use)</t>
  </si>
  <si>
    <t>RATE (1 response, Hypothesis)</t>
  </si>
  <si>
    <r>
      <rPr>
        <sz val="14"/>
        <color theme="1"/>
        <rFont val="Arial"/>
      </rPr>
      <t xml:space="preserve">NOTE:
- Only change the estimation </t>
    </r>
    <r>
      <rPr>
        <sz val="14"/>
        <color rgb="FF34A853"/>
        <rFont val="Arial"/>
      </rPr>
      <t>#Messages</t>
    </r>
    <r>
      <rPr>
        <sz val="14"/>
        <color theme="1"/>
        <rFont val="Arial"/>
      </rPr>
      <t xml:space="preserve"> in </t>
    </r>
    <r>
      <rPr>
        <sz val="14"/>
        <color rgb="FF34A853"/>
        <rFont val="Arial"/>
      </rPr>
      <t xml:space="preserve">Green </t>
    </r>
    <r>
      <rPr>
        <sz val="14"/>
        <color theme="1"/>
        <rFont val="Arial"/>
      </rPr>
      <t xml:space="preserve">table. costs in </t>
    </r>
    <r>
      <rPr>
        <sz val="14"/>
        <color rgb="FF4285F4"/>
        <rFont val="Arial"/>
      </rPr>
      <t xml:space="preserve">Blue </t>
    </r>
    <r>
      <rPr>
        <sz val="14"/>
        <color theme="1"/>
        <rFont val="Arial"/>
      </rPr>
      <t>table will be updated automatically.
- 3 Responses (in use): make use of three parallel candidate answers for the user's query.
- 1 Response (hypothesis): only pick the best answers for the user's query.</t>
    </r>
  </si>
  <si>
    <t>STANDARD COST</t>
  </si>
  <si>
    <t>Model Rates (per 1M tokens)</t>
  </si>
  <si>
    <t>Step</t>
  </si>
  <si>
    <t>Avg input tokens</t>
  </si>
  <si>
    <t>Avg input cost</t>
  </si>
  <si>
    <t>Avg ouput tokens</t>
  </si>
  <si>
    <t>Avg output cost</t>
  </si>
  <si>
    <t>gpt-4o-mini input</t>
  </si>
  <si>
    <t>Summarize Conversation</t>
  </si>
  <si>
    <t xml:space="preserve">gpt-4o-mini </t>
  </si>
  <si>
    <t>gpt-4o-mini output</t>
  </si>
  <si>
    <t>gpt-4.1-mini input</t>
  </si>
  <si>
    <t>Execute Workflow</t>
  </si>
  <si>
    <t>gpt-4.1-mini (3 responses)</t>
  </si>
  <si>
    <t>gpt-4.1-mini output</t>
  </si>
  <si>
    <t>gpt-4.1-mini (1 response)</t>
  </si>
  <si>
    <t>gemini-2.5-flash input</t>
  </si>
  <si>
    <t>gemini-2.5-flash output</t>
  </si>
  <si>
    <t>gemini-2.5-flash</t>
  </si>
  <si>
    <t>EXECUTE WORKFLOW:</t>
  </si>
  <si>
    <t>#</t>
  </si>
  <si>
    <t>Tasks</t>
  </si>
  <si>
    <t>Notes</t>
  </si>
  <si>
    <t>Language Detection</t>
  </si>
  <si>
    <t>Query Rewrite</t>
  </si>
  <si>
    <t>gpt-4o-mini</t>
  </si>
  <si>
    <t>Parallel Response</t>
  </si>
  <si>
    <t>gpt-4.1-mini</t>
  </si>
  <si>
    <t>(parallel response)</t>
  </si>
  <si>
    <t>Generation</t>
  </si>
  <si>
    <t>Evaluation (optional)</t>
  </si>
  <si>
    <t>[OPTION] VOICE INPUT</t>
  </si>
  <si>
    <t>S2T Model Rates (per minutes)</t>
  </si>
  <si>
    <t>Estimated cost</t>
  </si>
  <si>
    <t>GPT-Realtime-Whisper</t>
  </si>
  <si>
    <t>#message * (avg_input_syllables / avg_syllables_speed) * (Rate/ 60 secs)</t>
  </si>
  <si>
    <t>Google Speech-to-Text</t>
  </si>
  <si>
    <t>Amzon Transcribe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</si>
</sst>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&quot;$&quot;#,##0.00"/>
    <numFmt numFmtId="166" formatCode="[$¥]#,##0.00"/>
    <numFmt numFmtId="167" formatCode="&quot;$&quot;#,##0.000"/>
    <numFmt numFmtId="168" formatCode="[$¥]#,##0"/>
    <numFmt numFmtId="169" formatCode="\$0.0000"/>
  </numFmts>
  <fonts count="26" x14ac:knownFonts="1">
    <font>
      <sz val="10"/>
      <color rgb="FF000000"/>
      <name val="Arial"/>
      <scheme val="minor"/>
    </font>
    <font>
      <b/>
      <sz val="30"/>
      <color rgb="FFFF6D01"/>
      <name val="Arial"/>
      <scheme val="minor"/>
    </font>
    <font>
      <i/>
      <sz val="12"/>
      <color theme="1"/>
      <name val="Arial"/>
      <scheme val="minor"/>
    </font>
    <font>
      <b/>
      <u/>
      <sz val="12"/>
      <color rgb="FF0000FF"/>
      <name val="Arial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2"/>
      <color rgb="FFFF0000"/>
      <name val="Arial"/>
      <scheme val="minor"/>
    </font>
    <font>
      <u/>
      <sz val="12"/>
      <color rgb="FF0000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rgb="FFFF0000"/>
      <name val="Arial"/>
      <scheme val="minor"/>
    </font>
    <font>
      <b/>
      <sz val="20"/>
      <color rgb="FFFF0000"/>
      <name val="Arial"/>
      <scheme val="minor"/>
    </font>
    <font>
      <sz val="14"/>
      <color theme="1"/>
      <name val="Arial"/>
      <scheme val="minor"/>
    </font>
    <font>
      <sz val="200"/>
      <color theme="1"/>
      <name val="Arial"/>
      <scheme val="minor"/>
    </font>
    <font>
      <b/>
      <sz val="14"/>
      <color theme="1"/>
      <name val="Arial"/>
      <scheme val="minor"/>
    </font>
    <font>
      <sz val="12"/>
      <color rgb="FF999999"/>
      <name val="Arial"/>
      <scheme val="minor"/>
    </font>
    <font>
      <sz val="12"/>
      <color rgb="FF000000"/>
      <name val="Arial"/>
      <scheme val="minor"/>
    </font>
    <font>
      <sz val="12"/>
      <color rgb="FFB7B7B7"/>
      <name val="Arial"/>
      <scheme val="minor"/>
    </font>
    <font>
      <b/>
      <sz val="12"/>
      <color rgb="FF000000"/>
      <name val="Arial"/>
      <scheme val="minor"/>
    </font>
    <font>
      <u/>
      <sz val="12"/>
      <color rgb="FF0000FF"/>
      <name val="Arial"/>
    </font>
    <font>
      <b/>
      <sz val="12"/>
      <name val="Arial"/>
    </font>
    <font>
      <b/>
      <u/>
      <sz val="12"/>
      <color rgb="FF1155CC"/>
      <name val="Arial"/>
    </font>
    <font>
      <sz val="14"/>
      <color theme="1"/>
      <name val="Arial"/>
    </font>
    <font>
      <sz val="14"/>
      <color rgb="FF34A853"/>
      <name val="Arial"/>
    </font>
    <font>
      <sz val="14"/>
      <color rgb="FF4285F4"/>
      <name val="Arial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3" borderId="3" xfId="0" applyFont="1" applyFill="1" applyBorder="1"/>
    <xf numFmtId="0" fontId="10" fillId="0" borderId="0" xfId="0" applyFont="1" applyAlignment="1">
      <alignment horizontal="center"/>
    </xf>
    <xf numFmtId="0" fontId="6" fillId="2" borderId="0" xfId="0" applyFont="1" applyFill="1"/>
    <xf numFmtId="165" fontId="6" fillId="2" borderId="0" xfId="0" applyNumberFormat="1" applyFont="1" applyFill="1"/>
    <xf numFmtId="166" fontId="6" fillId="2" borderId="0" xfId="0" applyNumberFormat="1" applyFont="1" applyFill="1"/>
    <xf numFmtId="0" fontId="9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5" fillId="4" borderId="1" xfId="0" applyFont="1" applyFill="1" applyBorder="1" applyAlignment="1">
      <alignment horizontal="center"/>
    </xf>
    <xf numFmtId="0" fontId="16" fillId="3" borderId="2" xfId="0" applyFont="1" applyFill="1" applyBorder="1"/>
    <xf numFmtId="165" fontId="16" fillId="3" borderId="2" xfId="0" applyNumberFormat="1" applyFont="1" applyFill="1" applyBorder="1"/>
    <xf numFmtId="0" fontId="16" fillId="3" borderId="3" xfId="0" applyFont="1" applyFill="1" applyBorder="1"/>
    <xf numFmtId="165" fontId="16" fillId="3" borderId="3" xfId="0" applyNumberFormat="1" applyFont="1" applyFill="1" applyBorder="1"/>
    <xf numFmtId="165" fontId="17" fillId="4" borderId="5" xfId="0" applyNumberFormat="1" applyFont="1" applyFill="1" applyBorder="1" applyAlignment="1">
      <alignment horizontal="center" vertical="center"/>
    </xf>
    <xf numFmtId="3" fontId="17" fillId="4" borderId="5" xfId="0" applyNumberFormat="1" applyFont="1" applyFill="1" applyBorder="1" applyAlignment="1">
      <alignment horizontal="center" vertical="center"/>
    </xf>
    <xf numFmtId="3" fontId="11" fillId="4" borderId="5" xfId="0" applyNumberFormat="1" applyFont="1" applyFill="1" applyBorder="1" applyAlignment="1">
      <alignment horizontal="center" vertical="center"/>
    </xf>
    <xf numFmtId="165" fontId="11" fillId="4" borderId="5" xfId="0" applyNumberFormat="1" applyFont="1" applyFill="1" applyBorder="1" applyAlignment="1">
      <alignment horizontal="center" vertical="center"/>
    </xf>
    <xf numFmtId="165" fontId="18" fillId="4" borderId="3" xfId="0" applyNumberFormat="1" applyFont="1" applyFill="1" applyBorder="1" applyAlignment="1">
      <alignment horizontal="center" vertical="center"/>
    </xf>
    <xf numFmtId="3" fontId="18" fillId="4" borderId="3" xfId="0" applyNumberFormat="1" applyFont="1" applyFill="1" applyBorder="1" applyAlignment="1">
      <alignment horizontal="center" vertical="center"/>
    </xf>
    <xf numFmtId="3" fontId="11" fillId="4" borderId="3" xfId="0" applyNumberFormat="1" applyFont="1" applyFill="1" applyBorder="1" applyAlignment="1">
      <alignment horizontal="center" vertical="center"/>
    </xf>
    <xf numFmtId="165" fontId="11" fillId="4" borderId="3" xfId="0" applyNumberFormat="1" applyFont="1" applyFill="1" applyBorder="1" applyAlignment="1">
      <alignment horizontal="center" vertical="center"/>
    </xf>
    <xf numFmtId="165" fontId="17" fillId="4" borderId="3" xfId="0" applyNumberFormat="1" applyFont="1" applyFill="1" applyBorder="1" applyAlignment="1">
      <alignment horizontal="center" vertical="center"/>
    </xf>
    <xf numFmtId="3" fontId="17" fillId="4" borderId="3" xfId="0" applyNumberFormat="1" applyFont="1" applyFill="1" applyBorder="1" applyAlignment="1">
      <alignment horizontal="center" vertical="center"/>
    </xf>
    <xf numFmtId="165" fontId="17" fillId="4" borderId="3" xfId="0" applyNumberFormat="1" applyFont="1" applyFill="1" applyBorder="1" applyAlignment="1">
      <alignment horizontal="center"/>
    </xf>
    <xf numFmtId="3" fontId="17" fillId="4" borderId="3" xfId="0" applyNumberFormat="1" applyFont="1" applyFill="1" applyBorder="1" applyAlignment="1">
      <alignment horizontal="center"/>
    </xf>
    <xf numFmtId="0" fontId="9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 applyAlignment="1">
      <alignment horizontal="center"/>
    </xf>
    <xf numFmtId="0" fontId="10" fillId="0" borderId="0" xfId="0" applyFont="1"/>
    <xf numFmtId="0" fontId="10" fillId="0" borderId="10" xfId="0" applyFont="1" applyBorder="1"/>
    <xf numFmtId="0" fontId="6" fillId="0" borderId="0" xfId="0" applyFont="1"/>
    <xf numFmtId="0" fontId="9" fillId="0" borderId="9" xfId="0" applyFont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 applyAlignment="1">
      <alignment horizontal="center"/>
    </xf>
    <xf numFmtId="0" fontId="9" fillId="0" borderId="1" xfId="0" applyFont="1" applyBorder="1"/>
    <xf numFmtId="0" fontId="9" fillId="0" borderId="12" xfId="0" applyFont="1" applyBorder="1"/>
    <xf numFmtId="0" fontId="20" fillId="3" borderId="2" xfId="0" applyFont="1" applyFill="1" applyBorder="1"/>
    <xf numFmtId="167" fontId="16" fillId="3" borderId="2" xfId="0" applyNumberFormat="1" applyFont="1" applyFill="1" applyBorder="1"/>
    <xf numFmtId="165" fontId="17" fillId="4" borderId="2" xfId="0" applyNumberFormat="1" applyFont="1" applyFill="1" applyBorder="1" applyAlignment="1">
      <alignment horizontal="center" vertical="center"/>
    </xf>
    <xf numFmtId="168" fontId="17" fillId="4" borderId="2" xfId="0" applyNumberFormat="1" applyFont="1" applyFill="1" applyBorder="1" applyAlignment="1">
      <alignment horizontal="center" vertical="center"/>
    </xf>
    <xf numFmtId="167" fontId="16" fillId="3" borderId="3" xfId="0" applyNumberFormat="1" applyFont="1" applyFill="1" applyBorder="1"/>
    <xf numFmtId="169" fontId="9" fillId="0" borderId="0" xfId="0" applyNumberFormat="1" applyFont="1"/>
    <xf numFmtId="0" fontId="8" fillId="0" borderId="2" xfId="0" applyFont="1" applyBorder="1"/>
    <xf numFmtId="0" fontId="0" fillId="0" borderId="0" xfId="0"/>
    <xf numFmtId="165" fontId="17" fillId="4" borderId="0" xfId="0" applyNumberFormat="1" applyFont="1" applyFill="1" applyAlignment="1">
      <alignment horizontal="center" vertical="center"/>
    </xf>
    <xf numFmtId="3" fontId="17" fillId="4" borderId="0" xfId="0" applyNumberFormat="1" applyFont="1" applyFill="1" applyAlignment="1">
      <alignment horizontal="center" vertical="center"/>
    </xf>
    <xf numFmtId="165" fontId="19" fillId="4" borderId="4" xfId="0" applyNumberFormat="1" applyFont="1" applyFill="1" applyBorder="1" applyAlignment="1">
      <alignment horizontal="center" vertical="center"/>
    </xf>
    <xf numFmtId="0" fontId="8" fillId="0" borderId="4" xfId="0" applyFont="1" applyBorder="1"/>
    <xf numFmtId="0" fontId="5" fillId="3" borderId="1" xfId="0" applyFont="1" applyFill="1" applyBorder="1" applyAlignment="1">
      <alignment horizontal="center"/>
    </xf>
    <xf numFmtId="0" fontId="8" fillId="0" borderId="1" xfId="0" applyFont="1" applyBorder="1"/>
    <xf numFmtId="0" fontId="5" fillId="2" borderId="0" xfId="0" applyFont="1" applyFill="1" applyAlignment="1">
      <alignment vertical="center"/>
    </xf>
    <xf numFmtId="3" fontId="11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hanh Phan" id="{8B120838-900A-44A1-B538-8C26F1D66EB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2" dT="2026-05-12T15:19:14.00" personId="{8B120838-900A-44A1-B538-8C26F1D66EBD}" id="{21B8F929-DC6C-4539-84F5-3E22FDE7D9BF}">
    <text>avg_input_syllables: 50 syllables per input message.
avg_syllables_speed: 7.84 syllables per second (Japanese native speakers)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.google.com/speech-to-text/pricing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openai.com/api/pricing/" TargetMode="External"/><Relationship Id="rId1" Type="http://schemas.openxmlformats.org/officeDocument/2006/relationships/hyperlink" Target="https://docs.google.com/document/u/2/d/1FybSxB3lXJ5NOyA-EVsAm-Cz9Wpv0YydrmSn8SeefRo/edit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aws.amazon.com/transcribe/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39"/>
  <sheetViews>
    <sheetView showGridLines="0" tabSelected="1" workbookViewId="0">
      <selection activeCell="E20" sqref="E20"/>
    </sheetView>
  </sheetViews>
  <sheetFormatPr defaultColWidth="12.5703125" defaultRowHeight="15.75" customHeight="1" x14ac:dyDescent="0.2"/>
  <cols>
    <col min="1" max="1" width="4.140625" customWidth="1"/>
    <col min="2" max="2" width="21.42578125" customWidth="1"/>
    <col min="3" max="3" width="12.85546875" customWidth="1"/>
    <col min="4" max="4" width="15.42578125" customWidth="1"/>
    <col min="5" max="5" width="32" customWidth="1"/>
    <col min="6" max="6" width="26.140625" customWidth="1"/>
    <col min="7" max="7" width="17.42578125" customWidth="1"/>
    <col min="8" max="8" width="15.85546875" customWidth="1"/>
    <col min="9" max="9" width="19.5703125" customWidth="1"/>
    <col min="10" max="10" width="18.42578125" customWidth="1"/>
  </cols>
  <sheetData>
    <row r="1" spans="2:10" ht="15.75" customHeight="1" x14ac:dyDescent="0.5">
      <c r="B1" s="1" t="s">
        <v>2</v>
      </c>
    </row>
    <row r="2" spans="2:10" x14ac:dyDescent="0.2">
      <c r="B2" s="2" t="s">
        <v>3</v>
      </c>
    </row>
    <row r="3" spans="2:10" ht="15.75" customHeight="1" x14ac:dyDescent="0.25">
      <c r="B3" s="3" t="s">
        <v>4</v>
      </c>
    </row>
    <row r="5" spans="2:10" x14ac:dyDescent="0.2">
      <c r="I5" s="6" t="s">
        <v>5</v>
      </c>
    </row>
    <row r="6" spans="2:10" ht="15.75" customHeight="1" x14ac:dyDescent="0.25">
      <c r="B6" s="57" t="s">
        <v>6</v>
      </c>
      <c r="C6" s="58">
        <v>50000000</v>
      </c>
      <c r="D6" s="59" t="s">
        <v>7</v>
      </c>
      <c r="E6" s="7" t="s">
        <v>8</v>
      </c>
      <c r="F6" s="8">
        <f>H13+J13+H17+J17+H18+J18+H15+J15</f>
        <v>368072.5</v>
      </c>
      <c r="G6" s="9">
        <f ca="1">IFERROR(__xludf.DUMMYFUNCTION("F6 * GOOGLEFINANCE(""CURRENCY:USDJPY"")"),59771477.31125)</f>
        <v>59771477.311250001</v>
      </c>
      <c r="H6" s="10"/>
      <c r="I6" s="9">
        <f ca="1">G6+F33</f>
        <v>73580193.297644496</v>
      </c>
    </row>
    <row r="7" spans="2:10" ht="15.75" customHeight="1" x14ac:dyDescent="0.25">
      <c r="B7" s="49"/>
      <c r="C7" s="49"/>
      <c r="D7" s="50"/>
      <c r="E7" s="7" t="s">
        <v>9</v>
      </c>
      <c r="F7" s="8">
        <f>H13+J13+H17+J17+H18+J18+H16+J16</f>
        <v>180312.50000000003</v>
      </c>
      <c r="G7" s="9">
        <f ca="1">IFERROR(__xludf.DUMMYFUNCTION("F7 * GOOGLEFINANCE(""CURRENCY:USDJPY"")"),29281037.03125)</f>
        <v>29281037.03125</v>
      </c>
      <c r="I7" s="9">
        <f ca="1">G7+F33</f>
        <v>43089753.017644502</v>
      </c>
    </row>
    <row r="8" spans="2:10" ht="15.75" customHeight="1" x14ac:dyDescent="3.1">
      <c r="B8" s="11"/>
      <c r="D8" s="12"/>
    </row>
    <row r="9" spans="2:10" ht="15.75" customHeight="1" x14ac:dyDescent="3.1">
      <c r="B9" s="11" t="s">
        <v>10</v>
      </c>
      <c r="D9" s="12"/>
    </row>
    <row r="10" spans="2:10" ht="15.75" customHeight="1" x14ac:dyDescent="3.1">
      <c r="D10" s="12"/>
    </row>
    <row r="11" spans="2:10" ht="15.75" customHeight="1" x14ac:dyDescent="3.1">
      <c r="B11" s="13" t="s">
        <v>11</v>
      </c>
      <c r="D11" s="12"/>
    </row>
    <row r="12" spans="2:10" ht="15.75" customHeight="1" x14ac:dyDescent="0.25">
      <c r="B12" s="55" t="s">
        <v>12</v>
      </c>
      <c r="C12" s="56"/>
      <c r="D12" s="10"/>
      <c r="E12" s="14" t="s">
        <v>13</v>
      </c>
      <c r="F12" s="14" t="s">
        <v>1</v>
      </c>
      <c r="G12" s="14" t="s">
        <v>14</v>
      </c>
      <c r="H12" s="14" t="s">
        <v>15</v>
      </c>
      <c r="I12" s="14" t="s">
        <v>16</v>
      </c>
      <c r="J12" s="14" t="s">
        <v>17</v>
      </c>
    </row>
    <row r="13" spans="2:10" x14ac:dyDescent="0.2">
      <c r="B13" s="15" t="s">
        <v>18</v>
      </c>
      <c r="C13" s="16">
        <v>0.15</v>
      </c>
      <c r="D13" s="10"/>
      <c r="E13" s="60" t="s">
        <v>19</v>
      </c>
      <c r="F13" s="61" t="s">
        <v>20</v>
      </c>
      <c r="G13" s="52">
        <f>437*$C$6</f>
        <v>21850000000</v>
      </c>
      <c r="H13" s="51">
        <f>G13*$C$13/1000000</f>
        <v>3277.5</v>
      </c>
      <c r="I13" s="52">
        <f>26*$C$6</f>
        <v>1300000000</v>
      </c>
      <c r="J13" s="51">
        <f>I13*C14/1000000</f>
        <v>780</v>
      </c>
    </row>
    <row r="14" spans="2:10" x14ac:dyDescent="0.2">
      <c r="B14" s="17" t="s">
        <v>21</v>
      </c>
      <c r="C14" s="18">
        <v>0.6</v>
      </c>
      <c r="D14" s="10"/>
      <c r="E14" s="49"/>
      <c r="F14" s="49"/>
      <c r="G14" s="49"/>
      <c r="H14" s="49"/>
      <c r="I14" s="49"/>
      <c r="J14" s="49"/>
    </row>
    <row r="15" spans="2:10" x14ac:dyDescent="0.2">
      <c r="B15" s="17" t="s">
        <v>22</v>
      </c>
      <c r="C15" s="18">
        <v>0.4</v>
      </c>
      <c r="D15" s="10"/>
      <c r="E15" s="60" t="s">
        <v>23</v>
      </c>
      <c r="F15" s="19" t="s">
        <v>24</v>
      </c>
      <c r="G15" s="20">
        <f>12250*$C$6</f>
        <v>612500000000</v>
      </c>
      <c r="H15" s="19">
        <f t="shared" ref="H15:H16" si="0">G15*$C$15/1000000</f>
        <v>245000</v>
      </c>
      <c r="I15" s="21">
        <f>458*$C$6</f>
        <v>22900000000</v>
      </c>
      <c r="J15" s="22">
        <f t="shared" ref="J15:J16" si="1">I15*$C$16/1000000</f>
        <v>36640</v>
      </c>
    </row>
    <row r="16" spans="2:10" x14ac:dyDescent="0.2">
      <c r="B16" s="17" t="s">
        <v>25</v>
      </c>
      <c r="C16" s="18">
        <v>1.6</v>
      </c>
      <c r="D16" s="10"/>
      <c r="E16" s="50"/>
      <c r="F16" s="23" t="s">
        <v>26</v>
      </c>
      <c r="G16" s="24">
        <f>G15/3</f>
        <v>204166666666.66666</v>
      </c>
      <c r="H16" s="23">
        <f t="shared" si="0"/>
        <v>81666.666666666672</v>
      </c>
      <c r="I16" s="25">
        <f>I15/3</f>
        <v>7633333333.333333</v>
      </c>
      <c r="J16" s="26">
        <f t="shared" si="1"/>
        <v>12213.333333333334</v>
      </c>
    </row>
    <row r="17" spans="1:10" x14ac:dyDescent="0.2">
      <c r="B17" s="17" t="s">
        <v>27</v>
      </c>
      <c r="C17" s="18">
        <v>0.3</v>
      </c>
      <c r="D17" s="10"/>
      <c r="E17" s="50"/>
      <c r="F17" s="27" t="s">
        <v>20</v>
      </c>
      <c r="G17" s="20">
        <f>3560*$C$6</f>
        <v>178000000000</v>
      </c>
      <c r="H17" s="19">
        <f>G17*$C$13/1000000</f>
        <v>26700</v>
      </c>
      <c r="I17" s="28">
        <f>(51+1+3)*$C$6</f>
        <v>2750000000</v>
      </c>
      <c r="J17" s="22">
        <f>I17*$C$14/1000000</f>
        <v>1650</v>
      </c>
    </row>
    <row r="18" spans="1:10" x14ac:dyDescent="0.2">
      <c r="B18" s="17" t="s">
        <v>28</v>
      </c>
      <c r="C18" s="18">
        <v>2.5</v>
      </c>
      <c r="D18" s="10"/>
      <c r="E18" s="49"/>
      <c r="F18" s="29" t="s">
        <v>29</v>
      </c>
      <c r="G18" s="30">
        <f>100*$C$6</f>
        <v>5000000000</v>
      </c>
      <c r="H18" s="29">
        <f>G17*$C$17/1000000</f>
        <v>53400</v>
      </c>
      <c r="I18" s="30">
        <f>5*$C$6</f>
        <v>250000000</v>
      </c>
      <c r="J18" s="29">
        <f>I18*$C$18/1000000</f>
        <v>625</v>
      </c>
    </row>
    <row r="19" spans="1:10" x14ac:dyDescent="0.2">
      <c r="D19" s="10"/>
    </row>
    <row r="20" spans="1:10" x14ac:dyDescent="0.2">
      <c r="D20" s="10"/>
    </row>
    <row r="21" spans="1:10" x14ac:dyDescent="0.2">
      <c r="A21" s="31"/>
      <c r="B21" s="32" t="s">
        <v>30</v>
      </c>
      <c r="C21" s="32"/>
      <c r="D21" s="33"/>
      <c r="E21" s="4"/>
      <c r="F21" s="4"/>
      <c r="G21" s="4"/>
      <c r="H21" s="4"/>
      <c r="I21" s="4"/>
      <c r="J21" s="4"/>
    </row>
    <row r="22" spans="1:10" ht="15.75" customHeight="1" x14ac:dyDescent="0.25">
      <c r="A22" s="34" t="s">
        <v>31</v>
      </c>
      <c r="B22" s="35" t="s">
        <v>32</v>
      </c>
      <c r="C22" s="35" t="s">
        <v>1</v>
      </c>
      <c r="D22" s="36" t="s">
        <v>33</v>
      </c>
      <c r="E22" s="37"/>
      <c r="F22" s="37"/>
      <c r="G22" s="4"/>
      <c r="H22" s="4"/>
      <c r="I22" s="4"/>
      <c r="J22" s="4"/>
    </row>
    <row r="23" spans="1:10" ht="15.75" customHeight="1" x14ac:dyDescent="0.25">
      <c r="A23" s="38">
        <v>1</v>
      </c>
      <c r="B23" s="10" t="s">
        <v>34</v>
      </c>
      <c r="C23" s="10" t="s">
        <v>29</v>
      </c>
      <c r="D23" s="39"/>
      <c r="E23" s="37"/>
      <c r="F23" s="37"/>
      <c r="G23" s="4"/>
      <c r="H23" s="4"/>
      <c r="I23" s="4"/>
      <c r="J23" s="4"/>
    </row>
    <row r="24" spans="1:10" ht="15.75" customHeight="1" x14ac:dyDescent="0.25">
      <c r="A24" s="38">
        <v>2</v>
      </c>
      <c r="B24" s="10" t="s">
        <v>35</v>
      </c>
      <c r="C24" s="10" t="s">
        <v>36</v>
      </c>
      <c r="D24" s="39"/>
      <c r="E24" s="37"/>
      <c r="F24" s="37"/>
      <c r="G24" s="4"/>
      <c r="H24" s="4"/>
      <c r="I24" s="4"/>
      <c r="J24" s="4"/>
    </row>
    <row r="25" spans="1:10" x14ac:dyDescent="0.2">
      <c r="A25" s="38">
        <v>3</v>
      </c>
      <c r="B25" s="10" t="s">
        <v>37</v>
      </c>
      <c r="C25" s="10" t="s">
        <v>38</v>
      </c>
      <c r="D25" s="39" t="s">
        <v>39</v>
      </c>
      <c r="E25" s="4"/>
      <c r="F25" s="4"/>
      <c r="G25" s="4"/>
      <c r="H25" s="4"/>
      <c r="I25" s="4"/>
      <c r="J25" s="4"/>
    </row>
    <row r="26" spans="1:10" x14ac:dyDescent="0.2">
      <c r="A26" s="38">
        <v>4</v>
      </c>
      <c r="B26" s="10" t="s">
        <v>40</v>
      </c>
      <c r="C26" s="10" t="s">
        <v>36</v>
      </c>
      <c r="D26" s="39"/>
      <c r="E26" s="4"/>
      <c r="F26" s="4"/>
      <c r="G26" s="4"/>
      <c r="H26" s="4"/>
      <c r="I26" s="4"/>
      <c r="J26" s="4"/>
    </row>
    <row r="27" spans="1:10" x14ac:dyDescent="0.2">
      <c r="A27" s="40">
        <v>5</v>
      </c>
      <c r="B27" s="41" t="s">
        <v>41</v>
      </c>
      <c r="C27" s="41" t="s">
        <v>36</v>
      </c>
      <c r="D27" s="42"/>
    </row>
    <row r="28" spans="1:10" x14ac:dyDescent="0.2">
      <c r="D28" s="10"/>
    </row>
    <row r="29" spans="1:10" x14ac:dyDescent="0.2">
      <c r="D29" s="10"/>
    </row>
    <row r="30" spans="1:10" ht="15.75" customHeight="1" x14ac:dyDescent="0.25">
      <c r="B30" s="13" t="s">
        <v>42</v>
      </c>
      <c r="D30" s="10"/>
    </row>
    <row r="31" spans="1:10" ht="15.75" customHeight="1" x14ac:dyDescent="0.25">
      <c r="B31" s="55" t="s">
        <v>43</v>
      </c>
      <c r="C31" s="56"/>
      <c r="D31" s="10"/>
      <c r="E31" s="53" t="s">
        <v>44</v>
      </c>
      <c r="F31" s="54"/>
      <c r="G31" s="53" t="s">
        <v>0</v>
      </c>
      <c r="H31" s="54"/>
      <c r="I31" s="54"/>
      <c r="J31" s="54"/>
    </row>
    <row r="32" spans="1:10" x14ac:dyDescent="0.2">
      <c r="B32" s="43" t="s">
        <v>45</v>
      </c>
      <c r="C32" s="44">
        <v>1.7000000000000001E-2</v>
      </c>
      <c r="D32" s="10"/>
      <c r="E32" s="45">
        <f t="shared" ref="E32:E34" si="2">$C$6 * (50 / 7.84) * (C32/60)</f>
        <v>90348.639455782322</v>
      </c>
      <c r="F32" s="46">
        <f ca="1">IFERROR(__xludf.DUMMYFUNCTION("E32 * GOOGLEFINANCE(""CURRENCY:USDJPY"")"),14671760.7355442)</f>
        <v>14671760.735544199</v>
      </c>
      <c r="G32" s="51" t="s">
        <v>46</v>
      </c>
      <c r="H32" s="50"/>
      <c r="I32" s="50"/>
      <c r="J32" s="50"/>
    </row>
    <row r="33" spans="2:10" x14ac:dyDescent="0.2">
      <c r="B33" s="5" t="s">
        <v>47</v>
      </c>
      <c r="C33" s="47">
        <v>1.6E-2</v>
      </c>
      <c r="D33" s="10"/>
      <c r="E33" s="27">
        <f t="shared" si="2"/>
        <v>85034.013605442175</v>
      </c>
      <c r="F33" s="46">
        <f ca="1">IFERROR(__xludf.DUMMYFUNCTION("E33 * GOOGLEFINANCE(""CURRENCY:USDJPY"")"),13808715.9863945)</f>
        <v>13808715.9863945</v>
      </c>
      <c r="G33" s="50"/>
      <c r="H33" s="50"/>
      <c r="I33" s="50"/>
      <c r="J33" s="50"/>
    </row>
    <row r="34" spans="2:10" x14ac:dyDescent="0.2">
      <c r="B34" s="5" t="s">
        <v>48</v>
      </c>
      <c r="C34" s="47">
        <v>2.4E-2</v>
      </c>
      <c r="D34" s="10"/>
      <c r="E34" s="27">
        <f t="shared" si="2"/>
        <v>127551.02040816327</v>
      </c>
      <c r="F34" s="46">
        <f ca="1">IFERROR(__xludf.DUMMYFUNCTION("E34 * GOOGLEFINANCE(""CURRENCY:USDJPY"")"),20713073.9795918)</f>
        <v>20713073.979591802</v>
      </c>
      <c r="G34" s="49"/>
      <c r="H34" s="49"/>
      <c r="I34" s="49"/>
      <c r="J34" s="49"/>
    </row>
    <row r="35" spans="2:10" x14ac:dyDescent="0.2">
      <c r="B35" s="35"/>
    </row>
    <row r="36" spans="2:10" x14ac:dyDescent="0.2">
      <c r="B36" s="35"/>
      <c r="C36" s="35"/>
      <c r="D36" s="35"/>
      <c r="E36" s="35"/>
    </row>
    <row r="37" spans="2:10" x14ac:dyDescent="0.2">
      <c r="E37" s="48"/>
    </row>
    <row r="38" spans="2:10" x14ac:dyDescent="0.2">
      <c r="E38" s="48"/>
    </row>
    <row r="39" spans="2:10" x14ac:dyDescent="0.2">
      <c r="E39" s="48"/>
    </row>
  </sheetData>
  <mergeCells count="15">
    <mergeCell ref="B12:C12"/>
    <mergeCell ref="B31:C31"/>
    <mergeCell ref="E31:F31"/>
    <mergeCell ref="B6:B7"/>
    <mergeCell ref="C6:C7"/>
    <mergeCell ref="D6:D7"/>
    <mergeCell ref="E13:E14"/>
    <mergeCell ref="F13:F14"/>
    <mergeCell ref="E15:E18"/>
    <mergeCell ref="H13:H14"/>
    <mergeCell ref="I13:I14"/>
    <mergeCell ref="J13:J14"/>
    <mergeCell ref="G31:J31"/>
    <mergeCell ref="G32:J34"/>
    <mergeCell ref="G13:G14"/>
  </mergeCells>
  <hyperlinks>
    <hyperlink ref="B3" r:id="rId1" xr:uid="{00000000-0004-0000-0100-000000000000}"/>
    <hyperlink ref="B32" r:id="rId2" xr:uid="{00000000-0004-0000-0100-000001000000}"/>
    <hyperlink ref="B33" r:id="rId3" xr:uid="{00000000-0004-0000-0100-000002000000}"/>
    <hyperlink ref="B34" r:id="rId4" xr:uid="{00000000-0004-0000-0100-00000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- LLM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Khanh Phan</cp:lastModifiedBy>
  <dcterms:created xsi:type="dcterms:W3CDTF">2026-07-17T14:37:07Z</dcterms:created>
  <dcterms:modified xsi:type="dcterms:W3CDTF">2026-07-17T14:37:07Z</dcterms:modified>
</cp:coreProperties>
</file>